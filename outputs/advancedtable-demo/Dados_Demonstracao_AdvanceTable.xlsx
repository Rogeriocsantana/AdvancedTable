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ger\Desktop\WEB\Visuais\AdvancedTable\outputs\advancedtable-demo\"/>
    </mc:Choice>
  </mc:AlternateContent>
  <xr:revisionPtr revIDLastSave="0" documentId="13_ncr:1_{AE4A36C9-7D91-4933-B5AA-BAACAF9F4B7F}" xr6:coauthVersionLast="47" xr6:coauthVersionMax="47" xr10:uidLastSave="{00000000-0000-0000-0000-000000000000}"/>
  <bookViews>
    <workbookView xWindow="-108" yWindow="-108" windowWidth="23256" windowHeight="12660" xr2:uid="{00000000-000D-0000-FFFF-FFFF00000000}"/>
  </bookViews>
  <sheets>
    <sheet name="Dados" sheetId="1" r:id="rId1"/>
    <sheet name="Guia" sheetId="2" r:id="rId2"/>
  </sheets>
  <calcPr calcId="191029"/>
</workbook>
</file>

<file path=xl/calcChain.xml><?xml version="1.0" encoding="utf-8"?>
<calcChain xmlns="http://schemas.openxmlformats.org/spreadsheetml/2006/main">
  <c r="M75" i="1" l="1"/>
  <c r="N75" i="1" s="1"/>
  <c r="N74" i="1"/>
  <c r="M74" i="1"/>
  <c r="N73" i="1"/>
  <c r="M73" i="1"/>
  <c r="M72" i="1"/>
  <c r="N72" i="1" s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</calcChain>
</file>

<file path=xl/sharedStrings.xml><?xml version="1.0" encoding="utf-8"?>
<sst xmlns="http://schemas.openxmlformats.org/spreadsheetml/2006/main" count="647" uniqueCount="153">
  <si>
    <t>Base fictícia para demonstração do AdvanceTable</t>
  </si>
  <si>
    <t>Todos os nomes, valores e registros são fictícios e podem ser publicados em imagens de demonstração.</t>
  </si>
  <si>
    <t>ID</t>
  </si>
  <si>
    <t>Data</t>
  </si>
  <si>
    <t>Região</t>
  </si>
  <si>
    <t>Unidade</t>
  </si>
  <si>
    <t>Responsável</t>
  </si>
  <si>
    <t>Categoria</t>
  </si>
  <si>
    <t>Produto</t>
  </si>
  <si>
    <t>Status</t>
  </si>
  <si>
    <t>Prioridade</t>
  </si>
  <si>
    <t>Quantidade</t>
  </si>
  <si>
    <t>Receita</t>
  </si>
  <si>
    <t>Custo</t>
  </si>
  <si>
    <t>Lucro</t>
  </si>
  <si>
    <t>Margem</t>
  </si>
  <si>
    <t>Progresso</t>
  </si>
  <si>
    <t>Avaliação</t>
  </si>
  <si>
    <t>AT-001</t>
  </si>
  <si>
    <t>Sudeste</t>
  </si>
  <si>
    <t>Unidade Aurora</t>
  </si>
  <si>
    <t>Ana Lima</t>
  </si>
  <si>
    <t>Tecnologia</t>
  </si>
  <si>
    <t>Essencial</t>
  </si>
  <si>
    <t>Planejado</t>
  </si>
  <si>
    <t>Baixa</t>
  </si>
  <si>
    <t>AT-002</t>
  </si>
  <si>
    <t>Sul</t>
  </si>
  <si>
    <t>Unidade Central</t>
  </si>
  <si>
    <t>Felipe Rocha</t>
  </si>
  <si>
    <t>Saúde</t>
  </si>
  <si>
    <t>Enterprise</t>
  </si>
  <si>
    <t>Média</t>
  </si>
  <si>
    <t>AT-003</t>
  </si>
  <si>
    <t>Nordeste</t>
  </si>
  <si>
    <t>Unidade Vista</t>
  </si>
  <si>
    <t>Elisa Martins</t>
  </si>
  <si>
    <t>Educação</t>
  </si>
  <si>
    <t>Premium</t>
  </si>
  <si>
    <t>Em atenção</t>
  </si>
  <si>
    <t>Alta</t>
  </si>
  <si>
    <t>AT-004</t>
  </si>
  <si>
    <t>Centro-Oeste</t>
  </si>
  <si>
    <t>Unidade Horizonte</t>
  </si>
  <si>
    <t>Diego Alves</t>
  </si>
  <si>
    <t>Serviços</t>
  </si>
  <si>
    <t>Plus</t>
  </si>
  <si>
    <t>Crítica</t>
  </si>
  <si>
    <t>AT-005</t>
  </si>
  <si>
    <t>Norte</t>
  </si>
  <si>
    <t>Carla Souza</t>
  </si>
  <si>
    <t>Em andamento</t>
  </si>
  <si>
    <t>AT-006</t>
  </si>
  <si>
    <t>Bruno Costa</t>
  </si>
  <si>
    <t>AT-007</t>
  </si>
  <si>
    <t>Concluído</t>
  </si>
  <si>
    <t>AT-008</t>
  </si>
  <si>
    <t>AT-009</t>
  </si>
  <si>
    <t>AT-010</t>
  </si>
  <si>
    <t>AT-011</t>
  </si>
  <si>
    <t>AT-012</t>
  </si>
  <si>
    <t>AT-013</t>
  </si>
  <si>
    <t>AT-014</t>
  </si>
  <si>
    <t>AT-015</t>
  </si>
  <si>
    <t>AT-016</t>
  </si>
  <si>
    <t>AT-017</t>
  </si>
  <si>
    <t>AT-018</t>
  </si>
  <si>
    <t>AT-019</t>
  </si>
  <si>
    <t>AT-020</t>
  </si>
  <si>
    <t>AT-021</t>
  </si>
  <si>
    <t>AT-022</t>
  </si>
  <si>
    <t>AT-023</t>
  </si>
  <si>
    <t>AT-024</t>
  </si>
  <si>
    <t>AT-025</t>
  </si>
  <si>
    <t>AT-026</t>
  </si>
  <si>
    <t>AT-027</t>
  </si>
  <si>
    <t>AT-028</t>
  </si>
  <si>
    <t>AT-029</t>
  </si>
  <si>
    <t>AT-030</t>
  </si>
  <si>
    <t>AT-031</t>
  </si>
  <si>
    <t>AT-032</t>
  </si>
  <si>
    <t>AT-033</t>
  </si>
  <si>
    <t>AT-034</t>
  </si>
  <si>
    <t>AT-035</t>
  </si>
  <si>
    <t>AT-036</t>
  </si>
  <si>
    <t>AT-037</t>
  </si>
  <si>
    <t>AT-038</t>
  </si>
  <si>
    <t>AT-039</t>
  </si>
  <si>
    <t>AT-040</t>
  </si>
  <si>
    <t>AT-041</t>
  </si>
  <si>
    <t>AT-042</t>
  </si>
  <si>
    <t>AT-043</t>
  </si>
  <si>
    <t>AT-044</t>
  </si>
  <si>
    <t>AT-045</t>
  </si>
  <si>
    <t>AT-046</t>
  </si>
  <si>
    <t>AT-047</t>
  </si>
  <si>
    <t>AT-048</t>
  </si>
  <si>
    <t>AT-049</t>
  </si>
  <si>
    <t>AT-050</t>
  </si>
  <si>
    <t>AT-051</t>
  </si>
  <si>
    <t>AT-052</t>
  </si>
  <si>
    <t>AT-053</t>
  </si>
  <si>
    <t>AT-054</t>
  </si>
  <si>
    <t>AT-055</t>
  </si>
  <si>
    <t>AT-056</t>
  </si>
  <si>
    <t>AT-057</t>
  </si>
  <si>
    <t>AT-058</t>
  </si>
  <si>
    <t>AT-059</t>
  </si>
  <si>
    <t>AT-060</t>
  </si>
  <si>
    <t>AT-061</t>
  </si>
  <si>
    <t>AT-062</t>
  </si>
  <si>
    <t>AT-063</t>
  </si>
  <si>
    <t>AT-064</t>
  </si>
  <si>
    <t>AT-065</t>
  </si>
  <si>
    <t>AT-066</t>
  </si>
  <si>
    <t>AT-067</t>
  </si>
  <si>
    <t>AT-068</t>
  </si>
  <si>
    <t>AT-069</t>
  </si>
  <si>
    <t>AT-070</t>
  </si>
  <si>
    <t>AT-071</t>
  </si>
  <si>
    <t>AT-072</t>
  </si>
  <si>
    <t>Guia rápido — demonstração do AdvanceTable</t>
  </si>
  <si>
    <t>Objetivo</t>
  </si>
  <si>
    <t>Configuração sugerida</t>
  </si>
  <si>
    <t>Campo</t>
  </si>
  <si>
    <t>Tipo</t>
  </si>
  <si>
    <t>Uso no visual</t>
  </si>
  <si>
    <t>Título</t>
  </si>
  <si>
    <t>Desempenho comercial fictício</t>
  </si>
  <si>
    <t>Texto</t>
  </si>
  <si>
    <t>Filtro e agrupamento</t>
  </si>
  <si>
    <t>Pesquisa principal</t>
  </si>
  <si>
    <t>Pesquisa</t>
  </si>
  <si>
    <t>Segunda pesquisa</t>
  </si>
  <si>
    <t>Etiqueta</t>
  </si>
  <si>
    <t>Etiquetas</t>
  </si>
  <si>
    <t>Status ou Prioridade</t>
  </si>
  <si>
    <t>Ícone ou etiqueta</t>
  </si>
  <si>
    <t>Ícones</t>
  </si>
  <si>
    <t>Cor por categoria</t>
  </si>
  <si>
    <t>Barras de progresso</t>
  </si>
  <si>
    <t>Moeda</t>
  </si>
  <si>
    <t>Total e ordenação</t>
  </si>
  <si>
    <t>Totais</t>
  </si>
  <si>
    <t>Receita, Custo e Lucro</t>
  </si>
  <si>
    <t>Total</t>
  </si>
  <si>
    <t>Formatação condicional</t>
  </si>
  <si>
    <t>Percentual</t>
  </si>
  <si>
    <t>Cor condicional</t>
  </si>
  <si>
    <t>Barra de progresso</t>
  </si>
  <si>
    <t>Número</t>
  </si>
  <si>
    <t>Ícone ou ordenação</t>
  </si>
  <si>
    <t>Importe no Power BI a tabela nomeada DadosAdvanceTable da aba Dados. Nenhum registro representa pessoa, empresa ou operação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</si>
</sst>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R$&quot;\ #,##0"/>
    <numFmt numFmtId="166" formatCode="0.0%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315A7D"/>
      <name val="Carlito"/>
    </font>
    <font>
      <sz val="10"/>
      <name val="Aptos"/>
    </font>
    <font>
      <b/>
      <sz val="10"/>
      <color rgb="FFFFFFFF"/>
      <name val="Aptos"/>
    </font>
    <font>
      <b/>
      <sz val="11"/>
      <color rgb="FFFFFFFF"/>
      <name val="Carlito"/>
    </font>
    <font>
      <i/>
      <sz val="11"/>
      <color rgb="FF7A4F0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AF3FA"/>
      </patternFill>
    </fill>
    <fill>
      <patternFill patternType="solid">
        <fgColor rgb="FF1683F3"/>
      </patternFill>
    </fill>
    <fill>
      <patternFill patternType="solid">
        <fgColor rgb="FFFFF4CE"/>
      </patternFill>
    </fill>
  </fills>
  <borders count="7">
    <border>
      <left/>
      <right/>
      <top/>
      <bottom/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/>
      <diagonal/>
    </border>
    <border>
      <left/>
      <right/>
      <top/>
      <bottom style="thin">
        <color rgb="FFDCE6EF"/>
      </bottom>
      <diagonal/>
    </border>
    <border>
      <left/>
      <right/>
      <top style="thin">
        <color rgb="FFDCE6EF"/>
      </top>
      <bottom style="thin">
        <color rgb="FFDCE6EF"/>
      </bottom>
      <diagonal/>
    </border>
    <border>
      <left/>
      <right/>
      <top style="thin">
        <color rgb="FFDCE6E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0" xfId="0" applyFont="1" applyFill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" fontId="3" fillId="0" borderId="1" xfId="0" applyNumberFormat="1" applyFont="1" applyBorder="1"/>
    <xf numFmtId="0" fontId="3" fillId="0" borderId="2" xfId="0" applyFont="1" applyBorder="1"/>
    <xf numFmtId="164" fontId="3" fillId="0" borderId="2" xfId="0" applyNumberFormat="1" applyFont="1" applyBorder="1"/>
    <xf numFmtId="3" fontId="3" fillId="0" borderId="2" xfId="0" applyNumberFormat="1" applyFont="1" applyBorder="1"/>
    <xf numFmtId="165" fontId="3" fillId="0" borderId="2" xfId="0" applyNumberFormat="1" applyFont="1" applyBorder="1"/>
    <xf numFmtId="166" fontId="3" fillId="0" borderId="2" xfId="0" applyNumberFormat="1" applyFont="1" applyBorder="1"/>
    <xf numFmtId="1" fontId="3" fillId="0" borderId="2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3" fontId="3" fillId="0" borderId="3" xfId="0" applyNumberFormat="1" applyFont="1" applyBorder="1"/>
    <xf numFmtId="165" fontId="3" fillId="0" borderId="3" xfId="0" applyNumberFormat="1" applyFont="1" applyBorder="1"/>
    <xf numFmtId="166" fontId="3" fillId="0" borderId="3" xfId="0" applyNumberFormat="1" applyFont="1" applyBorder="1"/>
    <xf numFmtId="1" fontId="3" fillId="0" borderId="3" xfId="0" applyNumberFormat="1" applyFont="1" applyBorder="1"/>
    <xf numFmtId="0" fontId="5" fillId="4" borderId="4" xfId="0" applyFont="1" applyFill="1" applyBorder="1"/>
    <xf numFmtId="0" fontId="0" fillId="0" borderId="5" xfId="0" applyBorder="1"/>
    <xf numFmtId="0" fontId="0" fillId="0" borderId="6" xfId="0" applyBorder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/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3">
    <dxf>
      <font>
        <color rgb="FF52606D"/>
      </font>
      <fill>
        <patternFill patternType="solid">
          <bgColor rgb="FFEEF1F5"/>
        </patternFill>
      </fill>
    </dxf>
    <dxf>
      <font>
        <b/>
        <color rgb="FF9A5B00"/>
      </font>
      <fill>
        <patternFill patternType="solid">
          <bgColor rgb="FFFFF0D5"/>
        </patternFill>
      </fill>
    </dxf>
    <dxf>
      <font>
        <b/>
        <color rgb="FF146C43"/>
      </font>
      <fill>
        <patternFill patternType="solid">
          <bgColor rgb="FFDDF5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AdvanceTable" displayName="DadosAdvanceTable" ref="A3:P75" totalsRowShown="0">
  <autoFilter ref="A3:P75" xr:uid="{00000000-0009-0000-0100-000001000000}"/>
  <tableColumns count="16">
    <tableColumn id="1" xr3:uid="{00000000-0010-0000-0000-000001000000}" name="ID"/>
    <tableColumn id="2" xr3:uid="{00000000-0010-0000-0000-000002000000}" name="Data"/>
    <tableColumn id="3" xr3:uid="{00000000-0010-0000-0000-000003000000}" name="Região"/>
    <tableColumn id="4" xr3:uid="{00000000-0010-0000-0000-000004000000}" name="Unidade"/>
    <tableColumn id="5" xr3:uid="{00000000-0010-0000-0000-000005000000}" name="Responsável"/>
    <tableColumn id="6" xr3:uid="{00000000-0010-0000-0000-000006000000}" name="Categoria"/>
    <tableColumn id="7" xr3:uid="{00000000-0010-0000-0000-000007000000}" name="Produto"/>
    <tableColumn id="8" xr3:uid="{00000000-0010-0000-0000-000008000000}" name="Status"/>
    <tableColumn id="9" xr3:uid="{00000000-0010-0000-0000-000009000000}" name="Prioridade"/>
    <tableColumn id="10" xr3:uid="{00000000-0010-0000-0000-00000A000000}" name="Quantidade"/>
    <tableColumn id="11" xr3:uid="{00000000-0010-0000-0000-00000B000000}" name="Receita"/>
    <tableColumn id="12" xr3:uid="{00000000-0010-0000-0000-00000C000000}" name="Custo"/>
    <tableColumn id="13" xr3:uid="{00000000-0010-0000-0000-00000D000000}" name="Lucro"/>
    <tableColumn id="14" xr3:uid="{00000000-0010-0000-0000-00000E000000}" name="Margem"/>
    <tableColumn id="15" xr3:uid="{00000000-0010-0000-0000-00000F000000}" name="Progresso"/>
    <tableColumn id="16" xr3:uid="{00000000-0010-0000-0000-000010000000}" name="Avali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showGridLines="0" tabSelected="1" workbookViewId="0">
      <selection sqref="A1:P1"/>
    </sheetView>
  </sheetViews>
  <sheetFormatPr defaultRowHeight="13.8"/>
  <cols>
    <col min="1" max="2" width="12" customWidth="1"/>
    <col min="3" max="3" width="16" customWidth="1"/>
    <col min="4" max="4" width="19" customWidth="1"/>
    <col min="5" max="5" width="18" customWidth="1"/>
    <col min="6" max="7" width="15" customWidth="1"/>
    <col min="8" max="8" width="16" customWidth="1"/>
    <col min="9" max="10" width="12" customWidth="1"/>
    <col min="11" max="13" width="15" customWidth="1"/>
    <col min="14" max="14" width="12" customWidth="1"/>
    <col min="15" max="15" width="13" customWidth="1"/>
    <col min="16" max="16" width="12" customWidth="1"/>
  </cols>
  <sheetData>
    <row r="1" spans="1:16" ht="31.9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4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25.0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14.4">
      <c r="A4" s="2" t="s">
        <v>18</v>
      </c>
      <c r="B4" s="3">
        <v>46024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4">
        <v>8</v>
      </c>
      <c r="K4" s="5">
        <v>5440</v>
      </c>
      <c r="L4" s="5">
        <v>2611</v>
      </c>
      <c r="M4" s="5">
        <f t="shared" ref="M4:M35" si="0">K4-L4</f>
        <v>2829</v>
      </c>
      <c r="N4" s="6">
        <f t="shared" ref="N4:N35" si="1">IFERROR(M4/K4,0)</f>
        <v>0.52003676470588234</v>
      </c>
      <c r="O4" s="6">
        <v>0.18</v>
      </c>
      <c r="P4" s="7">
        <v>1</v>
      </c>
    </row>
    <row r="5" spans="1:16" ht="14.4">
      <c r="A5" s="8" t="s">
        <v>26</v>
      </c>
      <c r="B5" s="9">
        <v>46058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24</v>
      </c>
      <c r="I5" s="8" t="s">
        <v>32</v>
      </c>
      <c r="J5" s="10">
        <v>15</v>
      </c>
      <c r="K5" s="11">
        <v>12255</v>
      </c>
      <c r="L5" s="11">
        <v>7230</v>
      </c>
      <c r="M5" s="11">
        <f t="shared" si="0"/>
        <v>5025</v>
      </c>
      <c r="N5" s="12">
        <f t="shared" si="1"/>
        <v>0.41003671970624234</v>
      </c>
      <c r="O5" s="12">
        <v>0.31</v>
      </c>
      <c r="P5" s="13">
        <v>3</v>
      </c>
    </row>
    <row r="6" spans="1:16" ht="14.4">
      <c r="A6" s="8" t="s">
        <v>33</v>
      </c>
      <c r="B6" s="9">
        <v>46089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8" t="s">
        <v>39</v>
      </c>
      <c r="I6" s="8" t="s">
        <v>40</v>
      </c>
      <c r="J6" s="10">
        <v>22</v>
      </c>
      <c r="K6" s="11">
        <v>20988</v>
      </c>
      <c r="L6" s="11">
        <v>14692</v>
      </c>
      <c r="M6" s="11">
        <f t="shared" si="0"/>
        <v>6296</v>
      </c>
      <c r="N6" s="12">
        <f t="shared" si="1"/>
        <v>0.29998094149037546</v>
      </c>
      <c r="O6" s="12">
        <v>0.44</v>
      </c>
      <c r="P6" s="13">
        <v>5</v>
      </c>
    </row>
    <row r="7" spans="1:16" ht="14.4">
      <c r="A7" s="8" t="s">
        <v>41</v>
      </c>
      <c r="B7" s="9">
        <v>46123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 t="s">
        <v>39</v>
      </c>
      <c r="I7" s="8" t="s">
        <v>47</v>
      </c>
      <c r="J7" s="10">
        <v>29</v>
      </c>
      <c r="K7" s="11">
        <v>31639</v>
      </c>
      <c r="L7" s="11">
        <v>16136</v>
      </c>
      <c r="M7" s="11">
        <f t="shared" si="0"/>
        <v>15503</v>
      </c>
      <c r="N7" s="12">
        <f t="shared" si="1"/>
        <v>0.48999652327823257</v>
      </c>
      <c r="O7" s="12">
        <v>0.57000000000000006</v>
      </c>
      <c r="P7" s="13">
        <v>2</v>
      </c>
    </row>
    <row r="8" spans="1:16" ht="14.4">
      <c r="A8" s="8" t="s">
        <v>48</v>
      </c>
      <c r="B8" s="9">
        <v>46156</v>
      </c>
      <c r="C8" s="8" t="s">
        <v>49</v>
      </c>
      <c r="D8" s="8" t="s">
        <v>20</v>
      </c>
      <c r="E8" s="8" t="s">
        <v>50</v>
      </c>
      <c r="F8" s="8" t="s">
        <v>22</v>
      </c>
      <c r="G8" s="8" t="s">
        <v>23</v>
      </c>
      <c r="H8" s="8" t="s">
        <v>51</v>
      </c>
      <c r="I8" s="8" t="s">
        <v>25</v>
      </c>
      <c r="J8" s="10">
        <v>36</v>
      </c>
      <c r="K8" s="11">
        <v>44208</v>
      </c>
      <c r="L8" s="11">
        <v>27409</v>
      </c>
      <c r="M8" s="11">
        <f t="shared" si="0"/>
        <v>16799</v>
      </c>
      <c r="N8" s="12">
        <f t="shared" si="1"/>
        <v>0.37999909518639158</v>
      </c>
      <c r="O8" s="12">
        <v>0.7</v>
      </c>
      <c r="P8" s="13">
        <v>4</v>
      </c>
    </row>
    <row r="9" spans="1:16" ht="14.4">
      <c r="A9" s="8" t="s">
        <v>52</v>
      </c>
      <c r="B9" s="9">
        <v>46190</v>
      </c>
      <c r="C9" s="8" t="s">
        <v>19</v>
      </c>
      <c r="D9" s="8" t="s">
        <v>28</v>
      </c>
      <c r="E9" s="8" t="s">
        <v>53</v>
      </c>
      <c r="F9" s="8" t="s">
        <v>30</v>
      </c>
      <c r="G9" s="8" t="s">
        <v>31</v>
      </c>
      <c r="H9" s="8" t="s">
        <v>51</v>
      </c>
      <c r="I9" s="8" t="s">
        <v>32</v>
      </c>
      <c r="J9" s="10">
        <v>43</v>
      </c>
      <c r="K9" s="11">
        <v>58695</v>
      </c>
      <c r="L9" s="11">
        <v>42847</v>
      </c>
      <c r="M9" s="11">
        <f t="shared" si="0"/>
        <v>15848</v>
      </c>
      <c r="N9" s="12">
        <f t="shared" si="1"/>
        <v>0.27000596302921887</v>
      </c>
      <c r="O9" s="12">
        <v>0.83000000000000007</v>
      </c>
      <c r="P9" s="13">
        <v>1</v>
      </c>
    </row>
    <row r="10" spans="1:16" ht="14.4">
      <c r="A10" s="8" t="s">
        <v>54</v>
      </c>
      <c r="B10" s="9">
        <v>46042</v>
      </c>
      <c r="C10" s="8" t="s">
        <v>27</v>
      </c>
      <c r="D10" s="8" t="s">
        <v>35</v>
      </c>
      <c r="E10" s="8" t="s">
        <v>21</v>
      </c>
      <c r="F10" s="8" t="s">
        <v>37</v>
      </c>
      <c r="G10" s="8" t="s">
        <v>38</v>
      </c>
      <c r="H10" s="8" t="s">
        <v>55</v>
      </c>
      <c r="I10" s="8" t="s">
        <v>40</v>
      </c>
      <c r="J10" s="10">
        <v>50</v>
      </c>
      <c r="K10" s="11">
        <v>75100</v>
      </c>
      <c r="L10" s="11">
        <v>40554</v>
      </c>
      <c r="M10" s="11">
        <f t="shared" si="0"/>
        <v>34546</v>
      </c>
      <c r="N10" s="12">
        <f t="shared" si="1"/>
        <v>0.46</v>
      </c>
      <c r="O10" s="12">
        <v>0.96</v>
      </c>
      <c r="P10" s="13">
        <v>3</v>
      </c>
    </row>
    <row r="11" spans="1:16" ht="14.4">
      <c r="A11" s="8" t="s">
        <v>56</v>
      </c>
      <c r="B11" s="9">
        <v>46076</v>
      </c>
      <c r="C11" s="8" t="s">
        <v>34</v>
      </c>
      <c r="D11" s="8" t="s">
        <v>43</v>
      </c>
      <c r="E11" s="8" t="s">
        <v>29</v>
      </c>
      <c r="F11" s="8" t="s">
        <v>45</v>
      </c>
      <c r="G11" s="8" t="s">
        <v>46</v>
      </c>
      <c r="H11" s="8" t="s">
        <v>24</v>
      </c>
      <c r="I11" s="8" t="s">
        <v>47</v>
      </c>
      <c r="J11" s="10">
        <v>14</v>
      </c>
      <c r="K11" s="11">
        <v>22946</v>
      </c>
      <c r="L11" s="11">
        <v>14915</v>
      </c>
      <c r="M11" s="11">
        <f t="shared" si="0"/>
        <v>8031</v>
      </c>
      <c r="N11" s="12">
        <f t="shared" si="1"/>
        <v>0.34999564194195065</v>
      </c>
      <c r="O11" s="12">
        <v>0.3</v>
      </c>
      <c r="P11" s="13">
        <v>5</v>
      </c>
    </row>
    <row r="12" spans="1:16" ht="14.4">
      <c r="A12" s="8" t="s">
        <v>57</v>
      </c>
      <c r="B12" s="9">
        <v>46107</v>
      </c>
      <c r="C12" s="8" t="s">
        <v>42</v>
      </c>
      <c r="D12" s="8" t="s">
        <v>20</v>
      </c>
      <c r="E12" s="8" t="s">
        <v>36</v>
      </c>
      <c r="F12" s="8" t="s">
        <v>22</v>
      </c>
      <c r="G12" s="8" t="s">
        <v>23</v>
      </c>
      <c r="H12" s="8" t="s">
        <v>39</v>
      </c>
      <c r="I12" s="8" t="s">
        <v>25</v>
      </c>
      <c r="J12" s="10">
        <v>21</v>
      </c>
      <c r="K12" s="11">
        <v>37296</v>
      </c>
      <c r="L12" s="11">
        <v>28345</v>
      </c>
      <c r="M12" s="11">
        <f t="shared" si="0"/>
        <v>8951</v>
      </c>
      <c r="N12" s="12">
        <f t="shared" si="1"/>
        <v>0.23999892749892751</v>
      </c>
      <c r="O12" s="12">
        <v>0.43</v>
      </c>
      <c r="P12" s="13">
        <v>2</v>
      </c>
    </row>
    <row r="13" spans="1:16" ht="14.4">
      <c r="A13" s="8" t="s">
        <v>58</v>
      </c>
      <c r="B13" s="9">
        <v>46116</v>
      </c>
      <c r="C13" s="8" t="s">
        <v>49</v>
      </c>
      <c r="D13" s="8" t="s">
        <v>28</v>
      </c>
      <c r="E13" s="8" t="s">
        <v>44</v>
      </c>
      <c r="F13" s="8" t="s">
        <v>30</v>
      </c>
      <c r="G13" s="8" t="s">
        <v>31</v>
      </c>
      <c r="H13" s="8" t="s">
        <v>39</v>
      </c>
      <c r="I13" s="8" t="s">
        <v>32</v>
      </c>
      <c r="J13" s="10">
        <v>28</v>
      </c>
      <c r="K13" s="11">
        <v>53564</v>
      </c>
      <c r="L13" s="11">
        <v>30531</v>
      </c>
      <c r="M13" s="11">
        <f t="shared" si="0"/>
        <v>23033</v>
      </c>
      <c r="N13" s="12">
        <f t="shared" si="1"/>
        <v>0.43000896124262566</v>
      </c>
      <c r="O13" s="12">
        <v>0.56000000000000005</v>
      </c>
      <c r="P13" s="13">
        <v>4</v>
      </c>
    </row>
    <row r="14" spans="1:16" ht="14.4">
      <c r="A14" s="8" t="s">
        <v>59</v>
      </c>
      <c r="B14" s="9">
        <v>46149</v>
      </c>
      <c r="C14" s="8" t="s">
        <v>19</v>
      </c>
      <c r="D14" s="8" t="s">
        <v>35</v>
      </c>
      <c r="E14" s="8" t="s">
        <v>50</v>
      </c>
      <c r="F14" s="8" t="s">
        <v>37</v>
      </c>
      <c r="G14" s="8" t="s">
        <v>38</v>
      </c>
      <c r="H14" s="8" t="s">
        <v>51</v>
      </c>
      <c r="I14" s="8" t="s">
        <v>40</v>
      </c>
      <c r="J14" s="10">
        <v>35</v>
      </c>
      <c r="K14" s="11">
        <v>71750</v>
      </c>
      <c r="L14" s="11">
        <v>48790</v>
      </c>
      <c r="M14" s="11">
        <f t="shared" si="0"/>
        <v>22960</v>
      </c>
      <c r="N14" s="12">
        <f t="shared" si="1"/>
        <v>0.32</v>
      </c>
      <c r="O14" s="12">
        <v>0.69</v>
      </c>
      <c r="P14" s="13">
        <v>1</v>
      </c>
    </row>
    <row r="15" spans="1:16" ht="14.4">
      <c r="A15" s="8" t="s">
        <v>60</v>
      </c>
      <c r="B15" s="9">
        <v>46183</v>
      </c>
      <c r="C15" s="8" t="s">
        <v>27</v>
      </c>
      <c r="D15" s="8" t="s">
        <v>43</v>
      </c>
      <c r="E15" s="8" t="s">
        <v>53</v>
      </c>
      <c r="F15" s="8" t="s">
        <v>45</v>
      </c>
      <c r="G15" s="8" t="s">
        <v>46</v>
      </c>
      <c r="H15" s="8" t="s">
        <v>51</v>
      </c>
      <c r="I15" s="8" t="s">
        <v>47</v>
      </c>
      <c r="J15" s="10">
        <v>42</v>
      </c>
      <c r="K15" s="11">
        <v>91854</v>
      </c>
      <c r="L15" s="11">
        <v>45008</v>
      </c>
      <c r="M15" s="11">
        <f t="shared" si="0"/>
        <v>46846</v>
      </c>
      <c r="N15" s="12">
        <f t="shared" si="1"/>
        <v>0.51000500794739478</v>
      </c>
      <c r="O15" s="12">
        <v>0.82000000000000006</v>
      </c>
      <c r="P15" s="13">
        <v>3</v>
      </c>
    </row>
    <row r="16" spans="1:16" ht="14.4">
      <c r="A16" s="8" t="s">
        <v>61</v>
      </c>
      <c r="B16" s="9">
        <v>46035</v>
      </c>
      <c r="C16" s="8" t="s">
        <v>34</v>
      </c>
      <c r="D16" s="8" t="s">
        <v>20</v>
      </c>
      <c r="E16" s="8" t="s">
        <v>21</v>
      </c>
      <c r="F16" s="8" t="s">
        <v>22</v>
      </c>
      <c r="G16" s="8" t="s">
        <v>23</v>
      </c>
      <c r="H16" s="8" t="s">
        <v>55</v>
      </c>
      <c r="I16" s="8" t="s">
        <v>25</v>
      </c>
      <c r="J16" s="10">
        <v>49</v>
      </c>
      <c r="K16" s="11">
        <v>113876</v>
      </c>
      <c r="L16" s="11">
        <v>68326</v>
      </c>
      <c r="M16" s="11">
        <f t="shared" si="0"/>
        <v>45550</v>
      </c>
      <c r="N16" s="12">
        <f t="shared" si="1"/>
        <v>0.39999648740735538</v>
      </c>
      <c r="O16" s="12">
        <v>0.95</v>
      </c>
      <c r="P16" s="13">
        <v>5</v>
      </c>
    </row>
    <row r="17" spans="1:16" ht="14.4">
      <c r="A17" s="8" t="s">
        <v>62</v>
      </c>
      <c r="B17" s="9">
        <v>46069</v>
      </c>
      <c r="C17" s="8" t="s">
        <v>42</v>
      </c>
      <c r="D17" s="8" t="s">
        <v>28</v>
      </c>
      <c r="E17" s="8" t="s">
        <v>29</v>
      </c>
      <c r="F17" s="8" t="s">
        <v>30</v>
      </c>
      <c r="G17" s="8" t="s">
        <v>31</v>
      </c>
      <c r="H17" s="8" t="s">
        <v>24</v>
      </c>
      <c r="I17" s="8" t="s">
        <v>32</v>
      </c>
      <c r="J17" s="10">
        <v>13</v>
      </c>
      <c r="K17" s="11">
        <v>31993</v>
      </c>
      <c r="L17" s="11">
        <v>22715</v>
      </c>
      <c r="M17" s="11">
        <f t="shared" si="0"/>
        <v>9278</v>
      </c>
      <c r="N17" s="12">
        <f t="shared" si="1"/>
        <v>0.29000093770512297</v>
      </c>
      <c r="O17" s="12">
        <v>0.28999999999999998</v>
      </c>
      <c r="P17" s="13">
        <v>2</v>
      </c>
    </row>
    <row r="18" spans="1:16" ht="14.4">
      <c r="A18" s="8" t="s">
        <v>63</v>
      </c>
      <c r="B18" s="9">
        <v>46100</v>
      </c>
      <c r="C18" s="8" t="s">
        <v>49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10">
        <v>20</v>
      </c>
      <c r="K18" s="11">
        <v>51960</v>
      </c>
      <c r="L18" s="11">
        <v>27019</v>
      </c>
      <c r="M18" s="11">
        <f t="shared" si="0"/>
        <v>24941</v>
      </c>
      <c r="N18" s="12">
        <f t="shared" si="1"/>
        <v>0.48000384911470362</v>
      </c>
      <c r="O18" s="12">
        <v>0.42</v>
      </c>
      <c r="P18" s="13">
        <v>4</v>
      </c>
    </row>
    <row r="19" spans="1:16" ht="14.4">
      <c r="A19" s="8" t="s">
        <v>64</v>
      </c>
      <c r="B19" s="9">
        <v>46134</v>
      </c>
      <c r="C19" s="8" t="s">
        <v>19</v>
      </c>
      <c r="D19" s="8" t="s">
        <v>43</v>
      </c>
      <c r="E19" s="8" t="s">
        <v>44</v>
      </c>
      <c r="F19" s="8" t="s">
        <v>45</v>
      </c>
      <c r="G19" s="8" t="s">
        <v>46</v>
      </c>
      <c r="H19" s="8" t="s">
        <v>39</v>
      </c>
      <c r="I19" s="8" t="s">
        <v>47</v>
      </c>
      <c r="J19" s="10">
        <v>27</v>
      </c>
      <c r="K19" s="11">
        <v>73845</v>
      </c>
      <c r="L19" s="11">
        <v>46522</v>
      </c>
      <c r="M19" s="11">
        <f t="shared" si="0"/>
        <v>27323</v>
      </c>
      <c r="N19" s="12">
        <f t="shared" si="1"/>
        <v>0.3700047396573905</v>
      </c>
      <c r="O19" s="12">
        <v>0.55000000000000004</v>
      </c>
      <c r="P19" s="13">
        <v>1</v>
      </c>
    </row>
    <row r="20" spans="1:16" ht="14.4">
      <c r="A20" s="8" t="s">
        <v>65</v>
      </c>
      <c r="B20" s="9">
        <v>46167</v>
      </c>
      <c r="C20" s="8" t="s">
        <v>27</v>
      </c>
      <c r="D20" s="8" t="s">
        <v>20</v>
      </c>
      <c r="E20" s="8" t="s">
        <v>50</v>
      </c>
      <c r="F20" s="8" t="s">
        <v>22</v>
      </c>
      <c r="G20" s="8" t="s">
        <v>23</v>
      </c>
      <c r="H20" s="8" t="s">
        <v>51</v>
      </c>
      <c r="I20" s="8" t="s">
        <v>25</v>
      </c>
      <c r="J20" s="10">
        <v>34</v>
      </c>
      <c r="K20" s="11">
        <v>97648</v>
      </c>
      <c r="L20" s="11">
        <v>72260</v>
      </c>
      <c r="M20" s="11">
        <f t="shared" si="0"/>
        <v>25388</v>
      </c>
      <c r="N20" s="12">
        <f t="shared" si="1"/>
        <v>0.25999508438472885</v>
      </c>
      <c r="O20" s="12">
        <v>0.67999999999999994</v>
      </c>
      <c r="P20" s="13">
        <v>3</v>
      </c>
    </row>
    <row r="21" spans="1:16" ht="14.4">
      <c r="A21" s="8" t="s">
        <v>66</v>
      </c>
      <c r="B21" s="9">
        <v>46176</v>
      </c>
      <c r="C21" s="8" t="s">
        <v>34</v>
      </c>
      <c r="D21" s="8" t="s">
        <v>28</v>
      </c>
      <c r="E21" s="8" t="s">
        <v>53</v>
      </c>
      <c r="F21" s="8" t="s">
        <v>30</v>
      </c>
      <c r="G21" s="8" t="s">
        <v>31</v>
      </c>
      <c r="H21" s="8" t="s">
        <v>51</v>
      </c>
      <c r="I21" s="8" t="s">
        <v>32</v>
      </c>
      <c r="J21" s="10">
        <v>41</v>
      </c>
      <c r="K21" s="11">
        <v>33169</v>
      </c>
      <c r="L21" s="11">
        <v>18243</v>
      </c>
      <c r="M21" s="11">
        <f t="shared" si="0"/>
        <v>14926</v>
      </c>
      <c r="N21" s="12">
        <f t="shared" si="1"/>
        <v>0.44999849256836205</v>
      </c>
      <c r="O21" s="12">
        <v>0.81</v>
      </c>
      <c r="P21" s="13">
        <v>5</v>
      </c>
    </row>
    <row r="22" spans="1:16" ht="14.4">
      <c r="A22" s="8" t="s">
        <v>67</v>
      </c>
      <c r="B22" s="9">
        <v>46028</v>
      </c>
      <c r="C22" s="8" t="s">
        <v>42</v>
      </c>
      <c r="D22" s="8" t="s">
        <v>35</v>
      </c>
      <c r="E22" s="8" t="s">
        <v>21</v>
      </c>
      <c r="F22" s="8" t="s">
        <v>37</v>
      </c>
      <c r="G22" s="8" t="s">
        <v>38</v>
      </c>
      <c r="H22" s="8" t="s">
        <v>55</v>
      </c>
      <c r="I22" s="8" t="s">
        <v>40</v>
      </c>
      <c r="J22" s="10">
        <v>48</v>
      </c>
      <c r="K22" s="11">
        <v>45408</v>
      </c>
      <c r="L22" s="11">
        <v>29969</v>
      </c>
      <c r="M22" s="11">
        <f t="shared" si="0"/>
        <v>15439</v>
      </c>
      <c r="N22" s="12">
        <f t="shared" si="1"/>
        <v>0.34000616631430586</v>
      </c>
      <c r="O22" s="12">
        <v>0.94</v>
      </c>
      <c r="P22" s="13">
        <v>2</v>
      </c>
    </row>
    <row r="23" spans="1:16" ht="14.4">
      <c r="A23" s="8" t="s">
        <v>68</v>
      </c>
      <c r="B23" s="9">
        <v>46062</v>
      </c>
      <c r="C23" s="8" t="s">
        <v>49</v>
      </c>
      <c r="D23" s="8" t="s">
        <v>43</v>
      </c>
      <c r="E23" s="8" t="s">
        <v>29</v>
      </c>
      <c r="F23" s="8" t="s">
        <v>45</v>
      </c>
      <c r="G23" s="8" t="s">
        <v>46</v>
      </c>
      <c r="H23" s="8" t="s">
        <v>24</v>
      </c>
      <c r="I23" s="8" t="s">
        <v>47</v>
      </c>
      <c r="J23" s="10">
        <v>12</v>
      </c>
      <c r="K23" s="11">
        <v>12996</v>
      </c>
      <c r="L23" s="11">
        <v>10007</v>
      </c>
      <c r="M23" s="11">
        <f t="shared" si="0"/>
        <v>2989</v>
      </c>
      <c r="N23" s="12">
        <f t="shared" si="1"/>
        <v>0.22999384425977223</v>
      </c>
      <c r="O23" s="12">
        <v>0.28000000000000003</v>
      </c>
      <c r="P23" s="13">
        <v>4</v>
      </c>
    </row>
    <row r="24" spans="1:16" ht="14.4">
      <c r="A24" s="8" t="s">
        <v>69</v>
      </c>
      <c r="B24" s="9">
        <v>46093</v>
      </c>
      <c r="C24" s="8" t="s">
        <v>19</v>
      </c>
      <c r="D24" s="8" t="s">
        <v>20</v>
      </c>
      <c r="E24" s="8" t="s">
        <v>36</v>
      </c>
      <c r="F24" s="8" t="s">
        <v>22</v>
      </c>
      <c r="G24" s="8" t="s">
        <v>23</v>
      </c>
      <c r="H24" s="8" t="s">
        <v>39</v>
      </c>
      <c r="I24" s="8" t="s">
        <v>25</v>
      </c>
      <c r="J24" s="10">
        <v>19</v>
      </c>
      <c r="K24" s="11">
        <v>23180</v>
      </c>
      <c r="L24" s="11">
        <v>13444</v>
      </c>
      <c r="M24" s="11">
        <f t="shared" si="0"/>
        <v>9736</v>
      </c>
      <c r="N24" s="12">
        <f t="shared" si="1"/>
        <v>0.4200172562553926</v>
      </c>
      <c r="O24" s="12">
        <v>0.41000000000000003</v>
      </c>
      <c r="P24" s="13">
        <v>1</v>
      </c>
    </row>
    <row r="25" spans="1:16" ht="14.4">
      <c r="A25" s="8" t="s">
        <v>70</v>
      </c>
      <c r="B25" s="9">
        <v>46127</v>
      </c>
      <c r="C25" s="8" t="s">
        <v>27</v>
      </c>
      <c r="D25" s="8" t="s">
        <v>28</v>
      </c>
      <c r="E25" s="8" t="s">
        <v>44</v>
      </c>
      <c r="F25" s="8" t="s">
        <v>30</v>
      </c>
      <c r="G25" s="8" t="s">
        <v>31</v>
      </c>
      <c r="H25" s="8" t="s">
        <v>39</v>
      </c>
      <c r="I25" s="8" t="s">
        <v>32</v>
      </c>
      <c r="J25" s="10">
        <v>26</v>
      </c>
      <c r="K25" s="11">
        <v>35282</v>
      </c>
      <c r="L25" s="11">
        <v>24345</v>
      </c>
      <c r="M25" s="11">
        <f t="shared" si="0"/>
        <v>10937</v>
      </c>
      <c r="N25" s="12">
        <f t="shared" si="1"/>
        <v>0.30998809591293008</v>
      </c>
      <c r="O25" s="12">
        <v>0.54</v>
      </c>
      <c r="P25" s="13">
        <v>3</v>
      </c>
    </row>
    <row r="26" spans="1:16" ht="14.4">
      <c r="A26" s="8" t="s">
        <v>71</v>
      </c>
      <c r="B26" s="9">
        <v>46160</v>
      </c>
      <c r="C26" s="8" t="s">
        <v>34</v>
      </c>
      <c r="D26" s="8" t="s">
        <v>35</v>
      </c>
      <c r="E26" s="8" t="s">
        <v>50</v>
      </c>
      <c r="F26" s="8" t="s">
        <v>37</v>
      </c>
      <c r="G26" s="8" t="s">
        <v>38</v>
      </c>
      <c r="H26" s="8" t="s">
        <v>51</v>
      </c>
      <c r="I26" s="8" t="s">
        <v>40</v>
      </c>
      <c r="J26" s="10">
        <v>33</v>
      </c>
      <c r="K26" s="11">
        <v>49302</v>
      </c>
      <c r="L26" s="11">
        <v>24651</v>
      </c>
      <c r="M26" s="11">
        <f t="shared" si="0"/>
        <v>24651</v>
      </c>
      <c r="N26" s="12">
        <f t="shared" si="1"/>
        <v>0.5</v>
      </c>
      <c r="O26" s="12">
        <v>0.66999999999999993</v>
      </c>
      <c r="P26" s="13">
        <v>5</v>
      </c>
    </row>
    <row r="27" spans="1:16" ht="14.4">
      <c r="A27" s="8" t="s">
        <v>72</v>
      </c>
      <c r="B27" s="9">
        <v>46194</v>
      </c>
      <c r="C27" s="8" t="s">
        <v>42</v>
      </c>
      <c r="D27" s="8" t="s">
        <v>43</v>
      </c>
      <c r="E27" s="8" t="s">
        <v>53</v>
      </c>
      <c r="F27" s="8" t="s">
        <v>45</v>
      </c>
      <c r="G27" s="8" t="s">
        <v>46</v>
      </c>
      <c r="H27" s="8" t="s">
        <v>51</v>
      </c>
      <c r="I27" s="8" t="s">
        <v>47</v>
      </c>
      <c r="J27" s="10">
        <v>40</v>
      </c>
      <c r="K27" s="11">
        <v>65240</v>
      </c>
      <c r="L27" s="11">
        <v>39796</v>
      </c>
      <c r="M27" s="11">
        <f t="shared" si="0"/>
        <v>25444</v>
      </c>
      <c r="N27" s="12">
        <f t="shared" si="1"/>
        <v>0.39000613120784794</v>
      </c>
      <c r="O27" s="12">
        <v>0.8</v>
      </c>
      <c r="P27" s="13">
        <v>2</v>
      </c>
    </row>
    <row r="28" spans="1:16" ht="14.4">
      <c r="A28" s="8" t="s">
        <v>73</v>
      </c>
      <c r="B28" s="9">
        <v>46046</v>
      </c>
      <c r="C28" s="8" t="s">
        <v>49</v>
      </c>
      <c r="D28" s="8" t="s">
        <v>20</v>
      </c>
      <c r="E28" s="8" t="s">
        <v>21</v>
      </c>
      <c r="F28" s="8" t="s">
        <v>22</v>
      </c>
      <c r="G28" s="8" t="s">
        <v>23</v>
      </c>
      <c r="H28" s="8" t="s">
        <v>55</v>
      </c>
      <c r="I28" s="8" t="s">
        <v>25</v>
      </c>
      <c r="J28" s="10">
        <v>47</v>
      </c>
      <c r="K28" s="11">
        <v>83096</v>
      </c>
      <c r="L28" s="11">
        <v>59829</v>
      </c>
      <c r="M28" s="11">
        <f t="shared" si="0"/>
        <v>23267</v>
      </c>
      <c r="N28" s="12">
        <f t="shared" si="1"/>
        <v>0.28000144411283334</v>
      </c>
      <c r="O28" s="12">
        <v>0.92999999999999994</v>
      </c>
      <c r="P28" s="13">
        <v>4</v>
      </c>
    </row>
    <row r="29" spans="1:16" ht="14.4">
      <c r="A29" s="8" t="s">
        <v>74</v>
      </c>
      <c r="B29" s="9">
        <v>46055</v>
      </c>
      <c r="C29" s="8" t="s">
        <v>19</v>
      </c>
      <c r="D29" s="8" t="s">
        <v>28</v>
      </c>
      <c r="E29" s="8" t="s">
        <v>29</v>
      </c>
      <c r="F29" s="8" t="s">
        <v>30</v>
      </c>
      <c r="G29" s="8" t="s">
        <v>31</v>
      </c>
      <c r="H29" s="8" t="s">
        <v>24</v>
      </c>
      <c r="I29" s="8" t="s">
        <v>32</v>
      </c>
      <c r="J29" s="10">
        <v>11</v>
      </c>
      <c r="K29" s="11">
        <v>20955</v>
      </c>
      <c r="L29" s="11">
        <v>11106</v>
      </c>
      <c r="M29" s="11">
        <f t="shared" si="0"/>
        <v>9849</v>
      </c>
      <c r="N29" s="12">
        <f t="shared" si="1"/>
        <v>0.47000715819613459</v>
      </c>
      <c r="O29" s="12">
        <v>0.27</v>
      </c>
      <c r="P29" s="13">
        <v>1</v>
      </c>
    </row>
    <row r="30" spans="1:16" ht="14.4">
      <c r="A30" s="8" t="s">
        <v>75</v>
      </c>
      <c r="B30" s="9">
        <v>46086</v>
      </c>
      <c r="C30" s="8" t="s">
        <v>27</v>
      </c>
      <c r="D30" s="8" t="s">
        <v>35</v>
      </c>
      <c r="E30" s="8" t="s">
        <v>36</v>
      </c>
      <c r="F30" s="8" t="s">
        <v>37</v>
      </c>
      <c r="G30" s="8" t="s">
        <v>38</v>
      </c>
      <c r="H30" s="8" t="s">
        <v>39</v>
      </c>
      <c r="I30" s="8" t="s">
        <v>40</v>
      </c>
      <c r="J30" s="10">
        <v>18</v>
      </c>
      <c r="K30" s="11">
        <v>36756</v>
      </c>
      <c r="L30" s="11">
        <v>23524</v>
      </c>
      <c r="M30" s="11">
        <f t="shared" si="0"/>
        <v>13232</v>
      </c>
      <c r="N30" s="12">
        <f t="shared" si="1"/>
        <v>0.35999564696920233</v>
      </c>
      <c r="O30" s="12">
        <v>0.4</v>
      </c>
      <c r="P30" s="13">
        <v>3</v>
      </c>
    </row>
    <row r="31" spans="1:16" ht="14.4">
      <c r="A31" s="8" t="s">
        <v>76</v>
      </c>
      <c r="B31" s="9">
        <v>46120</v>
      </c>
      <c r="C31" s="8" t="s">
        <v>34</v>
      </c>
      <c r="D31" s="8" t="s">
        <v>43</v>
      </c>
      <c r="E31" s="8" t="s">
        <v>44</v>
      </c>
      <c r="F31" s="8" t="s">
        <v>45</v>
      </c>
      <c r="G31" s="8" t="s">
        <v>46</v>
      </c>
      <c r="H31" s="8" t="s">
        <v>39</v>
      </c>
      <c r="I31" s="8" t="s">
        <v>47</v>
      </c>
      <c r="J31" s="10">
        <v>25</v>
      </c>
      <c r="K31" s="11">
        <v>54475</v>
      </c>
      <c r="L31" s="11">
        <v>40856</v>
      </c>
      <c r="M31" s="11">
        <f t="shared" si="0"/>
        <v>13619</v>
      </c>
      <c r="N31" s="12">
        <f t="shared" si="1"/>
        <v>0.25000458926112895</v>
      </c>
      <c r="O31" s="12">
        <v>0.53</v>
      </c>
      <c r="P31" s="13">
        <v>5</v>
      </c>
    </row>
    <row r="32" spans="1:16" ht="14.4">
      <c r="A32" s="8" t="s">
        <v>77</v>
      </c>
      <c r="B32" s="9">
        <v>46153</v>
      </c>
      <c r="C32" s="8" t="s">
        <v>42</v>
      </c>
      <c r="D32" s="8" t="s">
        <v>20</v>
      </c>
      <c r="E32" s="8" t="s">
        <v>50</v>
      </c>
      <c r="F32" s="8" t="s">
        <v>22</v>
      </c>
      <c r="G32" s="8" t="s">
        <v>23</v>
      </c>
      <c r="H32" s="8" t="s">
        <v>51</v>
      </c>
      <c r="I32" s="8" t="s">
        <v>25</v>
      </c>
      <c r="J32" s="10">
        <v>32</v>
      </c>
      <c r="K32" s="11">
        <v>74112</v>
      </c>
      <c r="L32" s="11">
        <v>41503</v>
      </c>
      <c r="M32" s="11">
        <f t="shared" si="0"/>
        <v>32609</v>
      </c>
      <c r="N32" s="12">
        <f t="shared" si="1"/>
        <v>0.4399962219343696</v>
      </c>
      <c r="O32" s="12">
        <v>0.65999999999999992</v>
      </c>
      <c r="P32" s="13">
        <v>2</v>
      </c>
    </row>
    <row r="33" spans="1:16" ht="14.4">
      <c r="A33" s="8" t="s">
        <v>78</v>
      </c>
      <c r="B33" s="9">
        <v>46187</v>
      </c>
      <c r="C33" s="8" t="s">
        <v>49</v>
      </c>
      <c r="D33" s="8" t="s">
        <v>28</v>
      </c>
      <c r="E33" s="8" t="s">
        <v>53</v>
      </c>
      <c r="F33" s="8" t="s">
        <v>30</v>
      </c>
      <c r="G33" s="8" t="s">
        <v>31</v>
      </c>
      <c r="H33" s="8" t="s">
        <v>51</v>
      </c>
      <c r="I33" s="8" t="s">
        <v>32</v>
      </c>
      <c r="J33" s="10">
        <v>39</v>
      </c>
      <c r="K33" s="11">
        <v>95667</v>
      </c>
      <c r="L33" s="11">
        <v>64097</v>
      </c>
      <c r="M33" s="11">
        <f t="shared" si="0"/>
        <v>31570</v>
      </c>
      <c r="N33" s="12">
        <f t="shared" si="1"/>
        <v>0.32999885017822239</v>
      </c>
      <c r="O33" s="12">
        <v>0.79</v>
      </c>
      <c r="P33" s="13">
        <v>4</v>
      </c>
    </row>
    <row r="34" spans="1:16" ht="14.4">
      <c r="A34" s="8" t="s">
        <v>79</v>
      </c>
      <c r="B34" s="9">
        <v>46039</v>
      </c>
      <c r="C34" s="8" t="s">
        <v>19</v>
      </c>
      <c r="D34" s="8" t="s">
        <v>35</v>
      </c>
      <c r="E34" s="8" t="s">
        <v>21</v>
      </c>
      <c r="F34" s="8" t="s">
        <v>37</v>
      </c>
      <c r="G34" s="8" t="s">
        <v>38</v>
      </c>
      <c r="H34" s="8" t="s">
        <v>55</v>
      </c>
      <c r="I34" s="8" t="s">
        <v>40</v>
      </c>
      <c r="J34" s="10">
        <v>46</v>
      </c>
      <c r="K34" s="11">
        <v>119140</v>
      </c>
      <c r="L34" s="11">
        <v>57187</v>
      </c>
      <c r="M34" s="11">
        <f t="shared" si="0"/>
        <v>61953</v>
      </c>
      <c r="N34" s="12">
        <f t="shared" si="1"/>
        <v>0.52000167869733083</v>
      </c>
      <c r="O34" s="12">
        <v>0.91999999999999993</v>
      </c>
      <c r="P34" s="13">
        <v>1</v>
      </c>
    </row>
    <row r="35" spans="1:16" ht="14.4">
      <c r="A35" s="8" t="s">
        <v>80</v>
      </c>
      <c r="B35" s="9">
        <v>46073</v>
      </c>
      <c r="C35" s="8" t="s">
        <v>27</v>
      </c>
      <c r="D35" s="8" t="s">
        <v>43</v>
      </c>
      <c r="E35" s="8" t="s">
        <v>29</v>
      </c>
      <c r="F35" s="8" t="s">
        <v>45</v>
      </c>
      <c r="G35" s="8" t="s">
        <v>46</v>
      </c>
      <c r="H35" s="8" t="s">
        <v>24</v>
      </c>
      <c r="I35" s="8" t="s">
        <v>47</v>
      </c>
      <c r="J35" s="10">
        <v>10</v>
      </c>
      <c r="K35" s="11">
        <v>27270</v>
      </c>
      <c r="L35" s="11">
        <v>16089</v>
      </c>
      <c r="M35" s="11">
        <f t="shared" si="0"/>
        <v>11181</v>
      </c>
      <c r="N35" s="12">
        <f t="shared" si="1"/>
        <v>0.41001100110011002</v>
      </c>
      <c r="O35" s="12">
        <v>0.26</v>
      </c>
      <c r="P35" s="13">
        <v>3</v>
      </c>
    </row>
    <row r="36" spans="1:16" ht="14.4">
      <c r="A36" s="8" t="s">
        <v>81</v>
      </c>
      <c r="B36" s="9">
        <v>46104</v>
      </c>
      <c r="C36" s="8" t="s">
        <v>34</v>
      </c>
      <c r="D36" s="8" t="s">
        <v>20</v>
      </c>
      <c r="E36" s="8" t="s">
        <v>36</v>
      </c>
      <c r="F36" s="8" t="s">
        <v>22</v>
      </c>
      <c r="G36" s="8" t="s">
        <v>23</v>
      </c>
      <c r="H36" s="8" t="s">
        <v>24</v>
      </c>
      <c r="I36" s="8" t="s">
        <v>25</v>
      </c>
      <c r="J36" s="10">
        <v>17</v>
      </c>
      <c r="K36" s="11">
        <v>48688</v>
      </c>
      <c r="L36" s="11">
        <v>34082</v>
      </c>
      <c r="M36" s="11">
        <f t="shared" ref="M36:M67" si="2">K36-L36</f>
        <v>14606</v>
      </c>
      <c r="N36" s="12">
        <f t="shared" ref="N36:N67" si="3">IFERROR(M36/K36,0)</f>
        <v>0.29999178442326652</v>
      </c>
      <c r="O36" s="12">
        <v>0.39</v>
      </c>
      <c r="P36" s="13">
        <v>5</v>
      </c>
    </row>
    <row r="37" spans="1:16" ht="14.4">
      <c r="A37" s="8" t="s">
        <v>82</v>
      </c>
      <c r="B37" s="9">
        <v>46138</v>
      </c>
      <c r="C37" s="8" t="s">
        <v>42</v>
      </c>
      <c r="D37" s="8" t="s">
        <v>28</v>
      </c>
      <c r="E37" s="8" t="s">
        <v>44</v>
      </c>
      <c r="F37" s="8" t="s">
        <v>30</v>
      </c>
      <c r="G37" s="8" t="s">
        <v>31</v>
      </c>
      <c r="H37" s="8" t="s">
        <v>39</v>
      </c>
      <c r="I37" s="8" t="s">
        <v>32</v>
      </c>
      <c r="J37" s="10">
        <v>24</v>
      </c>
      <c r="K37" s="11">
        <v>19224</v>
      </c>
      <c r="L37" s="11">
        <v>9804</v>
      </c>
      <c r="M37" s="11">
        <f t="shared" si="2"/>
        <v>9420</v>
      </c>
      <c r="N37" s="12">
        <f t="shared" si="3"/>
        <v>0.49001248439450684</v>
      </c>
      <c r="O37" s="12">
        <v>0.52</v>
      </c>
      <c r="P37" s="13">
        <v>2</v>
      </c>
    </row>
    <row r="38" spans="1:16" ht="14.4">
      <c r="A38" s="8" t="s">
        <v>83</v>
      </c>
      <c r="B38" s="9">
        <v>46146</v>
      </c>
      <c r="C38" s="8" t="s">
        <v>49</v>
      </c>
      <c r="D38" s="8" t="s">
        <v>35</v>
      </c>
      <c r="E38" s="8" t="s">
        <v>50</v>
      </c>
      <c r="F38" s="8" t="s">
        <v>37</v>
      </c>
      <c r="G38" s="8" t="s">
        <v>38</v>
      </c>
      <c r="H38" s="8" t="s">
        <v>39</v>
      </c>
      <c r="I38" s="8" t="s">
        <v>40</v>
      </c>
      <c r="J38" s="10">
        <v>31</v>
      </c>
      <c r="K38" s="11">
        <v>29078</v>
      </c>
      <c r="L38" s="11">
        <v>18028</v>
      </c>
      <c r="M38" s="11">
        <f t="shared" si="2"/>
        <v>11050</v>
      </c>
      <c r="N38" s="12">
        <f t="shared" si="3"/>
        <v>0.38001238049384417</v>
      </c>
      <c r="O38" s="12">
        <v>0.64999999999999991</v>
      </c>
      <c r="P38" s="13">
        <v>4</v>
      </c>
    </row>
    <row r="39" spans="1:16" ht="14.4">
      <c r="A39" s="8" t="s">
        <v>84</v>
      </c>
      <c r="B39" s="9">
        <v>46180</v>
      </c>
      <c r="C39" s="8" t="s">
        <v>19</v>
      </c>
      <c r="D39" s="8" t="s">
        <v>43</v>
      </c>
      <c r="E39" s="8" t="s">
        <v>53</v>
      </c>
      <c r="F39" s="8" t="s">
        <v>45</v>
      </c>
      <c r="G39" s="8" t="s">
        <v>46</v>
      </c>
      <c r="H39" s="8" t="s">
        <v>51</v>
      </c>
      <c r="I39" s="8" t="s">
        <v>47</v>
      </c>
      <c r="J39" s="10">
        <v>38</v>
      </c>
      <c r="K39" s="11">
        <v>40850</v>
      </c>
      <c r="L39" s="11">
        <v>29821</v>
      </c>
      <c r="M39" s="11">
        <f t="shared" si="2"/>
        <v>11029</v>
      </c>
      <c r="N39" s="12">
        <f t="shared" si="3"/>
        <v>0.26998776009791919</v>
      </c>
      <c r="O39" s="12">
        <v>0.78</v>
      </c>
      <c r="P39" s="13">
        <v>1</v>
      </c>
    </row>
    <row r="40" spans="1:16" ht="14.4">
      <c r="A40" s="8" t="s">
        <v>85</v>
      </c>
      <c r="B40" s="9">
        <v>46032</v>
      </c>
      <c r="C40" s="8" t="s">
        <v>27</v>
      </c>
      <c r="D40" s="8" t="s">
        <v>20</v>
      </c>
      <c r="E40" s="8" t="s">
        <v>21</v>
      </c>
      <c r="F40" s="8" t="s">
        <v>22</v>
      </c>
      <c r="G40" s="8" t="s">
        <v>23</v>
      </c>
      <c r="H40" s="8" t="s">
        <v>55</v>
      </c>
      <c r="I40" s="8" t="s">
        <v>25</v>
      </c>
      <c r="J40" s="10">
        <v>45</v>
      </c>
      <c r="K40" s="11">
        <v>54540</v>
      </c>
      <c r="L40" s="11">
        <v>29452</v>
      </c>
      <c r="M40" s="11">
        <f t="shared" si="2"/>
        <v>25088</v>
      </c>
      <c r="N40" s="12">
        <f t="shared" si="3"/>
        <v>0.45999266593325999</v>
      </c>
      <c r="O40" s="12">
        <v>0.90999999999999992</v>
      </c>
      <c r="P40" s="13">
        <v>3</v>
      </c>
    </row>
    <row r="41" spans="1:16" ht="14.4">
      <c r="A41" s="8" t="s">
        <v>86</v>
      </c>
      <c r="B41" s="9">
        <v>46066</v>
      </c>
      <c r="C41" s="8" t="s">
        <v>34</v>
      </c>
      <c r="D41" s="8" t="s">
        <v>28</v>
      </c>
      <c r="E41" s="8" t="s">
        <v>29</v>
      </c>
      <c r="F41" s="8" t="s">
        <v>30</v>
      </c>
      <c r="G41" s="8" t="s">
        <v>31</v>
      </c>
      <c r="H41" s="8" t="s">
        <v>24</v>
      </c>
      <c r="I41" s="8" t="s">
        <v>32</v>
      </c>
      <c r="J41" s="10">
        <v>9</v>
      </c>
      <c r="K41" s="11">
        <v>12141</v>
      </c>
      <c r="L41" s="11">
        <v>7892</v>
      </c>
      <c r="M41" s="11">
        <f t="shared" si="2"/>
        <v>4249</v>
      </c>
      <c r="N41" s="12">
        <f t="shared" si="3"/>
        <v>0.34997117206160944</v>
      </c>
      <c r="O41" s="12">
        <v>0.25</v>
      </c>
      <c r="P41" s="13">
        <v>5</v>
      </c>
    </row>
    <row r="42" spans="1:16" ht="14.4">
      <c r="A42" s="8" t="s">
        <v>87</v>
      </c>
      <c r="B42" s="9">
        <v>46097</v>
      </c>
      <c r="C42" s="8" t="s">
        <v>42</v>
      </c>
      <c r="D42" s="8" t="s">
        <v>35</v>
      </c>
      <c r="E42" s="8" t="s">
        <v>36</v>
      </c>
      <c r="F42" s="8" t="s">
        <v>37</v>
      </c>
      <c r="G42" s="8" t="s">
        <v>38</v>
      </c>
      <c r="H42" s="8" t="s">
        <v>24</v>
      </c>
      <c r="I42" s="8" t="s">
        <v>40</v>
      </c>
      <c r="J42" s="10">
        <v>16</v>
      </c>
      <c r="K42" s="11">
        <v>23776</v>
      </c>
      <c r="L42" s="11">
        <v>18070</v>
      </c>
      <c r="M42" s="11">
        <f t="shared" si="2"/>
        <v>5706</v>
      </c>
      <c r="N42" s="12">
        <f t="shared" si="3"/>
        <v>0.23998990578734858</v>
      </c>
      <c r="O42" s="12">
        <v>0.38</v>
      </c>
      <c r="P42" s="13">
        <v>2</v>
      </c>
    </row>
    <row r="43" spans="1:16" ht="14.4">
      <c r="A43" s="8" t="s">
        <v>88</v>
      </c>
      <c r="B43" s="9">
        <v>46131</v>
      </c>
      <c r="C43" s="8" t="s">
        <v>49</v>
      </c>
      <c r="D43" s="8" t="s">
        <v>43</v>
      </c>
      <c r="E43" s="8" t="s">
        <v>44</v>
      </c>
      <c r="F43" s="8" t="s">
        <v>45</v>
      </c>
      <c r="G43" s="8" t="s">
        <v>46</v>
      </c>
      <c r="H43" s="8" t="s">
        <v>39</v>
      </c>
      <c r="I43" s="8" t="s">
        <v>47</v>
      </c>
      <c r="J43" s="10">
        <v>23</v>
      </c>
      <c r="K43" s="11">
        <v>37329</v>
      </c>
      <c r="L43" s="11">
        <v>21278</v>
      </c>
      <c r="M43" s="11">
        <f t="shared" si="2"/>
        <v>16051</v>
      </c>
      <c r="N43" s="12">
        <f t="shared" si="3"/>
        <v>0.42998740925285972</v>
      </c>
      <c r="O43" s="12">
        <v>0.51</v>
      </c>
      <c r="P43" s="13">
        <v>4</v>
      </c>
    </row>
    <row r="44" spans="1:16" ht="14.4">
      <c r="A44" s="8" t="s">
        <v>89</v>
      </c>
      <c r="B44" s="9">
        <v>46164</v>
      </c>
      <c r="C44" s="8" t="s">
        <v>19</v>
      </c>
      <c r="D44" s="8" t="s">
        <v>20</v>
      </c>
      <c r="E44" s="8" t="s">
        <v>50</v>
      </c>
      <c r="F44" s="8" t="s">
        <v>22</v>
      </c>
      <c r="G44" s="8" t="s">
        <v>23</v>
      </c>
      <c r="H44" s="8" t="s">
        <v>39</v>
      </c>
      <c r="I44" s="8" t="s">
        <v>25</v>
      </c>
      <c r="J44" s="10">
        <v>30</v>
      </c>
      <c r="K44" s="11">
        <v>52800</v>
      </c>
      <c r="L44" s="11">
        <v>35904</v>
      </c>
      <c r="M44" s="11">
        <f t="shared" si="2"/>
        <v>16896</v>
      </c>
      <c r="N44" s="12">
        <f t="shared" si="3"/>
        <v>0.32</v>
      </c>
      <c r="O44" s="12">
        <v>0.64</v>
      </c>
      <c r="P44" s="13">
        <v>1</v>
      </c>
    </row>
    <row r="45" spans="1:16" ht="14.4">
      <c r="A45" s="8" t="s">
        <v>90</v>
      </c>
      <c r="B45" s="9">
        <v>46198</v>
      </c>
      <c r="C45" s="8" t="s">
        <v>27</v>
      </c>
      <c r="D45" s="8" t="s">
        <v>28</v>
      </c>
      <c r="E45" s="8" t="s">
        <v>53</v>
      </c>
      <c r="F45" s="8" t="s">
        <v>30</v>
      </c>
      <c r="G45" s="8" t="s">
        <v>31</v>
      </c>
      <c r="H45" s="8" t="s">
        <v>51</v>
      </c>
      <c r="I45" s="8" t="s">
        <v>32</v>
      </c>
      <c r="J45" s="10">
        <v>37</v>
      </c>
      <c r="K45" s="11">
        <v>70189</v>
      </c>
      <c r="L45" s="11">
        <v>34393</v>
      </c>
      <c r="M45" s="11">
        <f t="shared" si="2"/>
        <v>35796</v>
      </c>
      <c r="N45" s="12">
        <f t="shared" si="3"/>
        <v>0.50999444357377932</v>
      </c>
      <c r="O45" s="12">
        <v>0.77</v>
      </c>
      <c r="P45" s="13">
        <v>3</v>
      </c>
    </row>
    <row r="46" spans="1:16" ht="14.4">
      <c r="A46" s="8" t="s">
        <v>91</v>
      </c>
      <c r="B46" s="9">
        <v>46025</v>
      </c>
      <c r="C46" s="8" t="s">
        <v>34</v>
      </c>
      <c r="D46" s="8" t="s">
        <v>35</v>
      </c>
      <c r="E46" s="8" t="s">
        <v>21</v>
      </c>
      <c r="F46" s="8" t="s">
        <v>37</v>
      </c>
      <c r="G46" s="8" t="s">
        <v>38</v>
      </c>
      <c r="H46" s="8" t="s">
        <v>51</v>
      </c>
      <c r="I46" s="8" t="s">
        <v>40</v>
      </c>
      <c r="J46" s="10">
        <v>44</v>
      </c>
      <c r="K46" s="11">
        <v>89496</v>
      </c>
      <c r="L46" s="11">
        <v>53698</v>
      </c>
      <c r="M46" s="11">
        <f t="shared" si="2"/>
        <v>35798</v>
      </c>
      <c r="N46" s="12">
        <f t="shared" si="3"/>
        <v>0.399995530526504</v>
      </c>
      <c r="O46" s="12">
        <v>0.89999999999999991</v>
      </c>
      <c r="P46" s="13">
        <v>5</v>
      </c>
    </row>
    <row r="47" spans="1:16" ht="14.4">
      <c r="A47" s="8" t="s">
        <v>92</v>
      </c>
      <c r="B47" s="9">
        <v>46059</v>
      </c>
      <c r="C47" s="8" t="s">
        <v>42</v>
      </c>
      <c r="D47" s="8" t="s">
        <v>43</v>
      </c>
      <c r="E47" s="8" t="s">
        <v>29</v>
      </c>
      <c r="F47" s="8" t="s">
        <v>45</v>
      </c>
      <c r="G47" s="8" t="s">
        <v>46</v>
      </c>
      <c r="H47" s="8" t="s">
        <v>24</v>
      </c>
      <c r="I47" s="8" t="s">
        <v>47</v>
      </c>
      <c r="J47" s="10">
        <v>8</v>
      </c>
      <c r="K47" s="11">
        <v>17368</v>
      </c>
      <c r="L47" s="11">
        <v>12331</v>
      </c>
      <c r="M47" s="11">
        <f t="shared" si="2"/>
        <v>5037</v>
      </c>
      <c r="N47" s="12">
        <f t="shared" si="3"/>
        <v>0.29001612160294793</v>
      </c>
      <c r="O47" s="12">
        <v>0.24</v>
      </c>
      <c r="P47" s="13">
        <v>2</v>
      </c>
    </row>
    <row r="48" spans="1:16" ht="14.4">
      <c r="A48" s="8" t="s">
        <v>93</v>
      </c>
      <c r="B48" s="9">
        <v>46090</v>
      </c>
      <c r="C48" s="8" t="s">
        <v>49</v>
      </c>
      <c r="D48" s="8" t="s">
        <v>20</v>
      </c>
      <c r="E48" s="8" t="s">
        <v>36</v>
      </c>
      <c r="F48" s="8" t="s">
        <v>22</v>
      </c>
      <c r="G48" s="8" t="s">
        <v>23</v>
      </c>
      <c r="H48" s="8" t="s">
        <v>24</v>
      </c>
      <c r="I48" s="8" t="s">
        <v>25</v>
      </c>
      <c r="J48" s="10">
        <v>15</v>
      </c>
      <c r="K48" s="11">
        <v>34620</v>
      </c>
      <c r="L48" s="11">
        <v>18002</v>
      </c>
      <c r="M48" s="11">
        <f t="shared" si="2"/>
        <v>16618</v>
      </c>
      <c r="N48" s="12">
        <f t="shared" si="3"/>
        <v>0.48001155401502021</v>
      </c>
      <c r="O48" s="12">
        <v>0.37</v>
      </c>
      <c r="P48" s="13">
        <v>4</v>
      </c>
    </row>
    <row r="49" spans="1:16" ht="14.4">
      <c r="A49" s="8" t="s">
        <v>94</v>
      </c>
      <c r="B49" s="9">
        <v>46124</v>
      </c>
      <c r="C49" s="8" t="s">
        <v>19</v>
      </c>
      <c r="D49" s="8" t="s">
        <v>28</v>
      </c>
      <c r="E49" s="8" t="s">
        <v>44</v>
      </c>
      <c r="F49" s="8" t="s">
        <v>30</v>
      </c>
      <c r="G49" s="8" t="s">
        <v>31</v>
      </c>
      <c r="H49" s="8" t="s">
        <v>39</v>
      </c>
      <c r="I49" s="8" t="s">
        <v>32</v>
      </c>
      <c r="J49" s="10">
        <v>22</v>
      </c>
      <c r="K49" s="11">
        <v>53790</v>
      </c>
      <c r="L49" s="11">
        <v>33888</v>
      </c>
      <c r="M49" s="11">
        <f t="shared" si="2"/>
        <v>19902</v>
      </c>
      <c r="N49" s="12">
        <f t="shared" si="3"/>
        <v>0.36999442275515892</v>
      </c>
      <c r="O49" s="12">
        <v>0.5</v>
      </c>
      <c r="P49" s="13">
        <v>1</v>
      </c>
    </row>
    <row r="50" spans="1:16" ht="14.4">
      <c r="A50" s="8" t="s">
        <v>95</v>
      </c>
      <c r="B50" s="9">
        <v>46157</v>
      </c>
      <c r="C50" s="8" t="s">
        <v>27</v>
      </c>
      <c r="D50" s="8" t="s">
        <v>35</v>
      </c>
      <c r="E50" s="8" t="s">
        <v>50</v>
      </c>
      <c r="F50" s="8" t="s">
        <v>37</v>
      </c>
      <c r="G50" s="8" t="s">
        <v>38</v>
      </c>
      <c r="H50" s="8" t="s">
        <v>39</v>
      </c>
      <c r="I50" s="8" t="s">
        <v>40</v>
      </c>
      <c r="J50" s="10">
        <v>29</v>
      </c>
      <c r="K50" s="11">
        <v>74878</v>
      </c>
      <c r="L50" s="11">
        <v>55410</v>
      </c>
      <c r="M50" s="11">
        <f t="shared" si="2"/>
        <v>19468</v>
      </c>
      <c r="N50" s="12">
        <f t="shared" si="3"/>
        <v>0.25999626058388314</v>
      </c>
      <c r="O50" s="12">
        <v>0.63</v>
      </c>
      <c r="P50" s="13">
        <v>3</v>
      </c>
    </row>
    <row r="51" spans="1:16" ht="14.4">
      <c r="A51" s="8" t="s">
        <v>96</v>
      </c>
      <c r="B51" s="9">
        <v>46191</v>
      </c>
      <c r="C51" s="8" t="s">
        <v>34</v>
      </c>
      <c r="D51" s="8" t="s">
        <v>43</v>
      </c>
      <c r="E51" s="8" t="s">
        <v>53</v>
      </c>
      <c r="F51" s="8" t="s">
        <v>45</v>
      </c>
      <c r="G51" s="8" t="s">
        <v>46</v>
      </c>
      <c r="H51" s="8" t="s">
        <v>51</v>
      </c>
      <c r="I51" s="8" t="s">
        <v>47</v>
      </c>
      <c r="J51" s="10">
        <v>36</v>
      </c>
      <c r="K51" s="11">
        <v>97884</v>
      </c>
      <c r="L51" s="11">
        <v>53836</v>
      </c>
      <c r="M51" s="11">
        <f t="shared" si="2"/>
        <v>44048</v>
      </c>
      <c r="N51" s="12">
        <f t="shared" si="3"/>
        <v>0.45000204323484944</v>
      </c>
      <c r="O51" s="12">
        <v>0.76</v>
      </c>
      <c r="P51" s="13">
        <v>5</v>
      </c>
    </row>
    <row r="52" spans="1:16" ht="14.4">
      <c r="A52" s="8" t="s">
        <v>97</v>
      </c>
      <c r="B52" s="9">
        <v>46043</v>
      </c>
      <c r="C52" s="8" t="s">
        <v>42</v>
      </c>
      <c r="D52" s="8" t="s">
        <v>20</v>
      </c>
      <c r="E52" s="8" t="s">
        <v>21</v>
      </c>
      <c r="F52" s="8" t="s">
        <v>22</v>
      </c>
      <c r="G52" s="8" t="s">
        <v>23</v>
      </c>
      <c r="H52" s="8" t="s">
        <v>51</v>
      </c>
      <c r="I52" s="8" t="s">
        <v>25</v>
      </c>
      <c r="J52" s="10">
        <v>43</v>
      </c>
      <c r="K52" s="11">
        <v>122808</v>
      </c>
      <c r="L52" s="11">
        <v>81053</v>
      </c>
      <c r="M52" s="11">
        <f t="shared" si="2"/>
        <v>41755</v>
      </c>
      <c r="N52" s="12">
        <f t="shared" si="3"/>
        <v>0.34000227998176014</v>
      </c>
      <c r="O52" s="12">
        <v>0.8899999999999999</v>
      </c>
      <c r="P52" s="13">
        <v>2</v>
      </c>
    </row>
    <row r="53" spans="1:16" ht="14.4">
      <c r="A53" s="8" t="s">
        <v>98</v>
      </c>
      <c r="B53" s="9">
        <v>46077</v>
      </c>
      <c r="C53" s="8" t="s">
        <v>49</v>
      </c>
      <c r="D53" s="8" t="s">
        <v>28</v>
      </c>
      <c r="E53" s="8" t="s">
        <v>29</v>
      </c>
      <c r="F53" s="8" t="s">
        <v>30</v>
      </c>
      <c r="G53" s="8" t="s">
        <v>31</v>
      </c>
      <c r="H53" s="8" t="s">
        <v>24</v>
      </c>
      <c r="I53" s="8" t="s">
        <v>32</v>
      </c>
      <c r="J53" s="10">
        <v>50</v>
      </c>
      <c r="K53" s="11">
        <v>39650</v>
      </c>
      <c r="L53" s="11">
        <v>30531</v>
      </c>
      <c r="M53" s="11">
        <f t="shared" si="2"/>
        <v>9119</v>
      </c>
      <c r="N53" s="12">
        <f t="shared" si="3"/>
        <v>0.22998738965952081</v>
      </c>
      <c r="O53" s="12">
        <v>0.22999999999999998</v>
      </c>
      <c r="P53" s="13">
        <v>4</v>
      </c>
    </row>
    <row r="54" spans="1:16" ht="14.4">
      <c r="A54" s="8" t="s">
        <v>99</v>
      </c>
      <c r="B54" s="9">
        <v>46083</v>
      </c>
      <c r="C54" s="8" t="s">
        <v>19</v>
      </c>
      <c r="D54" s="8" t="s">
        <v>35</v>
      </c>
      <c r="E54" s="8" t="s">
        <v>36</v>
      </c>
      <c r="F54" s="8" t="s">
        <v>37</v>
      </c>
      <c r="G54" s="8" t="s">
        <v>38</v>
      </c>
      <c r="H54" s="8" t="s">
        <v>24</v>
      </c>
      <c r="I54" s="8" t="s">
        <v>40</v>
      </c>
      <c r="J54" s="10">
        <v>14</v>
      </c>
      <c r="K54" s="11">
        <v>13020</v>
      </c>
      <c r="L54" s="11">
        <v>7552</v>
      </c>
      <c r="M54" s="11">
        <f t="shared" si="2"/>
        <v>5468</v>
      </c>
      <c r="N54" s="12">
        <f t="shared" si="3"/>
        <v>0.41996927803379414</v>
      </c>
      <c r="O54" s="12">
        <v>0.36</v>
      </c>
      <c r="P54" s="13">
        <v>1</v>
      </c>
    </row>
    <row r="55" spans="1:16" ht="14.4">
      <c r="A55" s="8" t="s">
        <v>100</v>
      </c>
      <c r="B55" s="9">
        <v>46117</v>
      </c>
      <c r="C55" s="8" t="s">
        <v>27</v>
      </c>
      <c r="D55" s="8" t="s">
        <v>43</v>
      </c>
      <c r="E55" s="8" t="s">
        <v>44</v>
      </c>
      <c r="F55" s="8" t="s">
        <v>45</v>
      </c>
      <c r="G55" s="8" t="s">
        <v>46</v>
      </c>
      <c r="H55" s="8" t="s">
        <v>39</v>
      </c>
      <c r="I55" s="8" t="s">
        <v>47</v>
      </c>
      <c r="J55" s="10">
        <v>21</v>
      </c>
      <c r="K55" s="11">
        <v>22407</v>
      </c>
      <c r="L55" s="11">
        <v>15461</v>
      </c>
      <c r="M55" s="11">
        <f t="shared" si="2"/>
        <v>6946</v>
      </c>
      <c r="N55" s="12">
        <f t="shared" si="3"/>
        <v>0.30999241308519659</v>
      </c>
      <c r="O55" s="12">
        <v>0.49</v>
      </c>
      <c r="P55" s="13">
        <v>3</v>
      </c>
    </row>
    <row r="56" spans="1:16" ht="14.4">
      <c r="A56" s="8" t="s">
        <v>101</v>
      </c>
      <c r="B56" s="9">
        <v>46150</v>
      </c>
      <c r="C56" s="8" t="s">
        <v>34</v>
      </c>
      <c r="D56" s="8" t="s">
        <v>20</v>
      </c>
      <c r="E56" s="8" t="s">
        <v>50</v>
      </c>
      <c r="F56" s="8" t="s">
        <v>22</v>
      </c>
      <c r="G56" s="8" t="s">
        <v>23</v>
      </c>
      <c r="H56" s="8" t="s">
        <v>39</v>
      </c>
      <c r="I56" s="8" t="s">
        <v>25</v>
      </c>
      <c r="J56" s="10">
        <v>28</v>
      </c>
      <c r="K56" s="11">
        <v>33712</v>
      </c>
      <c r="L56" s="11">
        <v>16856</v>
      </c>
      <c r="M56" s="11">
        <f t="shared" si="2"/>
        <v>16856</v>
      </c>
      <c r="N56" s="12">
        <f t="shared" si="3"/>
        <v>0.5</v>
      </c>
      <c r="O56" s="12">
        <v>0.62</v>
      </c>
      <c r="P56" s="13">
        <v>5</v>
      </c>
    </row>
    <row r="57" spans="1:16" ht="14.4">
      <c r="A57" s="8" t="s">
        <v>102</v>
      </c>
      <c r="B57" s="9">
        <v>46184</v>
      </c>
      <c r="C57" s="8" t="s">
        <v>42</v>
      </c>
      <c r="D57" s="8" t="s">
        <v>28</v>
      </c>
      <c r="E57" s="8" t="s">
        <v>53</v>
      </c>
      <c r="F57" s="8" t="s">
        <v>30</v>
      </c>
      <c r="G57" s="8" t="s">
        <v>31</v>
      </c>
      <c r="H57" s="8" t="s">
        <v>51</v>
      </c>
      <c r="I57" s="8" t="s">
        <v>32</v>
      </c>
      <c r="J57" s="10">
        <v>35</v>
      </c>
      <c r="K57" s="11">
        <v>46935</v>
      </c>
      <c r="L57" s="11">
        <v>28630</v>
      </c>
      <c r="M57" s="11">
        <f t="shared" si="2"/>
        <v>18305</v>
      </c>
      <c r="N57" s="12">
        <f t="shared" si="3"/>
        <v>0.3900074571215511</v>
      </c>
      <c r="O57" s="12">
        <v>0.75</v>
      </c>
      <c r="P57" s="13">
        <v>2</v>
      </c>
    </row>
    <row r="58" spans="1:16" ht="14.4">
      <c r="A58" s="8" t="s">
        <v>103</v>
      </c>
      <c r="B58" s="9">
        <v>46036</v>
      </c>
      <c r="C58" s="8" t="s">
        <v>49</v>
      </c>
      <c r="D58" s="8" t="s">
        <v>35</v>
      </c>
      <c r="E58" s="8" t="s">
        <v>21</v>
      </c>
      <c r="F58" s="8" t="s">
        <v>37</v>
      </c>
      <c r="G58" s="8" t="s">
        <v>38</v>
      </c>
      <c r="H58" s="8" t="s">
        <v>51</v>
      </c>
      <c r="I58" s="8" t="s">
        <v>40</v>
      </c>
      <c r="J58" s="10">
        <v>42</v>
      </c>
      <c r="K58" s="11">
        <v>62076</v>
      </c>
      <c r="L58" s="11">
        <v>44695</v>
      </c>
      <c r="M58" s="11">
        <f t="shared" si="2"/>
        <v>17381</v>
      </c>
      <c r="N58" s="12">
        <f t="shared" si="3"/>
        <v>0.27999548940009023</v>
      </c>
      <c r="O58" s="12">
        <v>0.87999999999999989</v>
      </c>
      <c r="P58" s="13">
        <v>4</v>
      </c>
    </row>
    <row r="59" spans="1:16" ht="14.4">
      <c r="A59" s="8" t="s">
        <v>104</v>
      </c>
      <c r="B59" s="9">
        <v>46070</v>
      </c>
      <c r="C59" s="8" t="s">
        <v>19</v>
      </c>
      <c r="D59" s="8" t="s">
        <v>43</v>
      </c>
      <c r="E59" s="8" t="s">
        <v>29</v>
      </c>
      <c r="F59" s="8" t="s">
        <v>45</v>
      </c>
      <c r="G59" s="8" t="s">
        <v>46</v>
      </c>
      <c r="H59" s="8" t="s">
        <v>24</v>
      </c>
      <c r="I59" s="8" t="s">
        <v>47</v>
      </c>
      <c r="J59" s="10">
        <v>49</v>
      </c>
      <c r="K59" s="11">
        <v>79135</v>
      </c>
      <c r="L59" s="11">
        <v>41942</v>
      </c>
      <c r="M59" s="11">
        <f t="shared" si="2"/>
        <v>37193</v>
      </c>
      <c r="N59" s="12">
        <f t="shared" si="3"/>
        <v>0.46999431351487964</v>
      </c>
      <c r="O59" s="12">
        <v>0.22</v>
      </c>
      <c r="P59" s="13">
        <v>1</v>
      </c>
    </row>
    <row r="60" spans="1:16" ht="14.4">
      <c r="A60" s="8" t="s">
        <v>105</v>
      </c>
      <c r="B60" s="9">
        <v>46101</v>
      </c>
      <c r="C60" s="8" t="s">
        <v>27</v>
      </c>
      <c r="D60" s="8" t="s">
        <v>20</v>
      </c>
      <c r="E60" s="8" t="s">
        <v>36</v>
      </c>
      <c r="F60" s="8" t="s">
        <v>22</v>
      </c>
      <c r="G60" s="8" t="s">
        <v>23</v>
      </c>
      <c r="H60" s="8" t="s">
        <v>24</v>
      </c>
      <c r="I60" s="8" t="s">
        <v>25</v>
      </c>
      <c r="J60" s="10">
        <v>13</v>
      </c>
      <c r="K60" s="11">
        <v>22776</v>
      </c>
      <c r="L60" s="11">
        <v>14577</v>
      </c>
      <c r="M60" s="11">
        <f t="shared" si="2"/>
        <v>8199</v>
      </c>
      <c r="N60" s="12">
        <f t="shared" si="3"/>
        <v>0.35998419388830349</v>
      </c>
      <c r="O60" s="12">
        <v>0.35</v>
      </c>
      <c r="P60" s="13">
        <v>3</v>
      </c>
    </row>
    <row r="61" spans="1:16" ht="14.4">
      <c r="A61" s="8" t="s">
        <v>106</v>
      </c>
      <c r="B61" s="9">
        <v>46135</v>
      </c>
      <c r="C61" s="8" t="s">
        <v>34</v>
      </c>
      <c r="D61" s="8" t="s">
        <v>28</v>
      </c>
      <c r="E61" s="8" t="s">
        <v>44</v>
      </c>
      <c r="F61" s="8" t="s">
        <v>30</v>
      </c>
      <c r="G61" s="8" t="s">
        <v>31</v>
      </c>
      <c r="H61" s="8" t="s">
        <v>39</v>
      </c>
      <c r="I61" s="8" t="s">
        <v>32</v>
      </c>
      <c r="J61" s="10">
        <v>20</v>
      </c>
      <c r="K61" s="11">
        <v>37780</v>
      </c>
      <c r="L61" s="11">
        <v>28335</v>
      </c>
      <c r="M61" s="11">
        <f t="shared" si="2"/>
        <v>9445</v>
      </c>
      <c r="N61" s="12">
        <f t="shared" si="3"/>
        <v>0.25</v>
      </c>
      <c r="O61" s="12">
        <v>0.48</v>
      </c>
      <c r="P61" s="13">
        <v>5</v>
      </c>
    </row>
    <row r="62" spans="1:16" ht="14.4">
      <c r="A62" s="8" t="s">
        <v>107</v>
      </c>
      <c r="B62" s="9">
        <v>46168</v>
      </c>
      <c r="C62" s="8" t="s">
        <v>42</v>
      </c>
      <c r="D62" s="8" t="s">
        <v>35</v>
      </c>
      <c r="E62" s="8" t="s">
        <v>50</v>
      </c>
      <c r="F62" s="8" t="s">
        <v>37</v>
      </c>
      <c r="G62" s="8" t="s">
        <v>38</v>
      </c>
      <c r="H62" s="8" t="s">
        <v>39</v>
      </c>
      <c r="I62" s="8" t="s">
        <v>40</v>
      </c>
      <c r="J62" s="10">
        <v>27</v>
      </c>
      <c r="K62" s="11">
        <v>54702</v>
      </c>
      <c r="L62" s="11">
        <v>30633</v>
      </c>
      <c r="M62" s="11">
        <f t="shared" si="2"/>
        <v>24069</v>
      </c>
      <c r="N62" s="12">
        <f t="shared" si="3"/>
        <v>0.44000219370406934</v>
      </c>
      <c r="O62" s="12">
        <v>0.61</v>
      </c>
      <c r="P62" s="13">
        <v>2</v>
      </c>
    </row>
    <row r="63" spans="1:16" ht="14.4">
      <c r="A63" s="8" t="s">
        <v>108</v>
      </c>
      <c r="B63" s="9">
        <v>46177</v>
      </c>
      <c r="C63" s="8" t="s">
        <v>49</v>
      </c>
      <c r="D63" s="8" t="s">
        <v>43</v>
      </c>
      <c r="E63" s="8" t="s">
        <v>53</v>
      </c>
      <c r="F63" s="8" t="s">
        <v>45</v>
      </c>
      <c r="G63" s="8" t="s">
        <v>46</v>
      </c>
      <c r="H63" s="8" t="s">
        <v>51</v>
      </c>
      <c r="I63" s="8" t="s">
        <v>47</v>
      </c>
      <c r="J63" s="10">
        <v>34</v>
      </c>
      <c r="K63" s="11">
        <v>73542</v>
      </c>
      <c r="L63" s="11">
        <v>49273</v>
      </c>
      <c r="M63" s="11">
        <f t="shared" si="2"/>
        <v>24269</v>
      </c>
      <c r="N63" s="12">
        <f t="shared" si="3"/>
        <v>0.33000190367409099</v>
      </c>
      <c r="O63" s="12">
        <v>0.74</v>
      </c>
      <c r="P63" s="13">
        <v>4</v>
      </c>
    </row>
    <row r="64" spans="1:16" ht="14.4">
      <c r="A64" s="8" t="s">
        <v>109</v>
      </c>
      <c r="B64" s="9">
        <v>46029</v>
      </c>
      <c r="C64" s="8" t="s">
        <v>19</v>
      </c>
      <c r="D64" s="8" t="s">
        <v>20</v>
      </c>
      <c r="E64" s="8" t="s">
        <v>21</v>
      </c>
      <c r="F64" s="8" t="s">
        <v>22</v>
      </c>
      <c r="G64" s="8" t="s">
        <v>23</v>
      </c>
      <c r="H64" s="8" t="s">
        <v>51</v>
      </c>
      <c r="I64" s="8" t="s">
        <v>25</v>
      </c>
      <c r="J64" s="10">
        <v>41</v>
      </c>
      <c r="K64" s="11">
        <v>94300</v>
      </c>
      <c r="L64" s="11">
        <v>45264</v>
      </c>
      <c r="M64" s="11">
        <f t="shared" si="2"/>
        <v>49036</v>
      </c>
      <c r="N64" s="12">
        <f t="shared" si="3"/>
        <v>0.52</v>
      </c>
      <c r="O64" s="12">
        <v>0.86999999999999988</v>
      </c>
      <c r="P64" s="13">
        <v>1</v>
      </c>
    </row>
    <row r="65" spans="1:16" ht="14.4">
      <c r="A65" s="8" t="s">
        <v>110</v>
      </c>
      <c r="B65" s="9">
        <v>46063</v>
      </c>
      <c r="C65" s="8" t="s">
        <v>27</v>
      </c>
      <c r="D65" s="8" t="s">
        <v>28</v>
      </c>
      <c r="E65" s="8" t="s">
        <v>29</v>
      </c>
      <c r="F65" s="8" t="s">
        <v>30</v>
      </c>
      <c r="G65" s="8" t="s">
        <v>31</v>
      </c>
      <c r="H65" s="8" t="s">
        <v>24</v>
      </c>
      <c r="I65" s="8" t="s">
        <v>32</v>
      </c>
      <c r="J65" s="10">
        <v>48</v>
      </c>
      <c r="K65" s="11">
        <v>116976</v>
      </c>
      <c r="L65" s="11">
        <v>69016</v>
      </c>
      <c r="M65" s="11">
        <f t="shared" si="2"/>
        <v>47960</v>
      </c>
      <c r="N65" s="12">
        <f t="shared" si="3"/>
        <v>0.40999863219805771</v>
      </c>
      <c r="O65" s="12">
        <v>0.21</v>
      </c>
      <c r="P65" s="13">
        <v>3</v>
      </c>
    </row>
    <row r="66" spans="1:16" ht="14.4">
      <c r="A66" s="8" t="s">
        <v>111</v>
      </c>
      <c r="B66" s="9">
        <v>46094</v>
      </c>
      <c r="C66" s="8" t="s">
        <v>34</v>
      </c>
      <c r="D66" s="8" t="s">
        <v>35</v>
      </c>
      <c r="E66" s="8" t="s">
        <v>36</v>
      </c>
      <c r="F66" s="8" t="s">
        <v>37</v>
      </c>
      <c r="G66" s="8" t="s">
        <v>38</v>
      </c>
      <c r="H66" s="8" t="s">
        <v>24</v>
      </c>
      <c r="I66" s="8" t="s">
        <v>40</v>
      </c>
      <c r="J66" s="10">
        <v>12</v>
      </c>
      <c r="K66" s="11">
        <v>30888</v>
      </c>
      <c r="L66" s="11">
        <v>21622</v>
      </c>
      <c r="M66" s="11">
        <f t="shared" si="2"/>
        <v>9266</v>
      </c>
      <c r="N66" s="12">
        <f t="shared" si="3"/>
        <v>0.29998704998705</v>
      </c>
      <c r="O66" s="12">
        <v>0.33999999999999997</v>
      </c>
      <c r="P66" s="13">
        <v>5</v>
      </c>
    </row>
    <row r="67" spans="1:16" ht="14.4">
      <c r="A67" s="8" t="s">
        <v>112</v>
      </c>
      <c r="B67" s="9">
        <v>46128</v>
      </c>
      <c r="C67" s="8" t="s">
        <v>42</v>
      </c>
      <c r="D67" s="8" t="s">
        <v>43</v>
      </c>
      <c r="E67" s="8" t="s">
        <v>44</v>
      </c>
      <c r="F67" s="8" t="s">
        <v>45</v>
      </c>
      <c r="G67" s="8" t="s">
        <v>46</v>
      </c>
      <c r="H67" s="8" t="s">
        <v>39</v>
      </c>
      <c r="I67" s="8" t="s">
        <v>47</v>
      </c>
      <c r="J67" s="10">
        <v>19</v>
      </c>
      <c r="K67" s="11">
        <v>51509</v>
      </c>
      <c r="L67" s="11">
        <v>26270</v>
      </c>
      <c r="M67" s="11">
        <f t="shared" si="2"/>
        <v>25239</v>
      </c>
      <c r="N67" s="12">
        <f t="shared" si="3"/>
        <v>0.48999204022597992</v>
      </c>
      <c r="O67" s="12">
        <v>0.47</v>
      </c>
      <c r="P67" s="13">
        <v>2</v>
      </c>
    </row>
    <row r="68" spans="1:16" ht="14.4">
      <c r="A68" s="8" t="s">
        <v>113</v>
      </c>
      <c r="B68" s="9">
        <v>46161</v>
      </c>
      <c r="C68" s="8" t="s">
        <v>49</v>
      </c>
      <c r="D68" s="8" t="s">
        <v>20</v>
      </c>
      <c r="E68" s="8" t="s">
        <v>50</v>
      </c>
      <c r="F68" s="8" t="s">
        <v>22</v>
      </c>
      <c r="G68" s="8" t="s">
        <v>23</v>
      </c>
      <c r="H68" s="8" t="s">
        <v>39</v>
      </c>
      <c r="I68" s="8" t="s">
        <v>25</v>
      </c>
      <c r="J68" s="10">
        <v>26</v>
      </c>
      <c r="K68" s="11">
        <v>74048</v>
      </c>
      <c r="L68" s="11">
        <v>45910</v>
      </c>
      <c r="M68" s="11">
        <f t="shared" ref="M68:M99" si="4">K68-L68</f>
        <v>28138</v>
      </c>
      <c r="N68" s="12">
        <f t="shared" ref="N68:N99" si="5">IFERROR(M68/K68,0)</f>
        <v>0.37999675885911843</v>
      </c>
      <c r="O68" s="12">
        <v>0.6</v>
      </c>
      <c r="P68" s="13">
        <v>4</v>
      </c>
    </row>
    <row r="69" spans="1:16" ht="14.4">
      <c r="A69" s="8" t="s">
        <v>114</v>
      </c>
      <c r="B69" s="9">
        <v>46195</v>
      </c>
      <c r="C69" s="8" t="s">
        <v>19</v>
      </c>
      <c r="D69" s="8" t="s">
        <v>28</v>
      </c>
      <c r="E69" s="8" t="s">
        <v>53</v>
      </c>
      <c r="F69" s="8" t="s">
        <v>30</v>
      </c>
      <c r="G69" s="8" t="s">
        <v>31</v>
      </c>
      <c r="H69" s="8" t="s">
        <v>51</v>
      </c>
      <c r="I69" s="8" t="s">
        <v>32</v>
      </c>
      <c r="J69" s="10">
        <v>33</v>
      </c>
      <c r="K69" s="11">
        <v>25905</v>
      </c>
      <c r="L69" s="11">
        <v>18911</v>
      </c>
      <c r="M69" s="11">
        <f t="shared" si="4"/>
        <v>6994</v>
      </c>
      <c r="N69" s="12">
        <f t="shared" si="5"/>
        <v>0.26998648909476936</v>
      </c>
      <c r="O69" s="12">
        <v>0.73</v>
      </c>
      <c r="P69" s="13">
        <v>1</v>
      </c>
    </row>
    <row r="70" spans="1:16" ht="14.4">
      <c r="A70" s="8" t="s">
        <v>115</v>
      </c>
      <c r="B70" s="9">
        <v>46047</v>
      </c>
      <c r="C70" s="8" t="s">
        <v>27</v>
      </c>
      <c r="D70" s="8" t="s">
        <v>35</v>
      </c>
      <c r="E70" s="8" t="s">
        <v>21</v>
      </c>
      <c r="F70" s="8" t="s">
        <v>37</v>
      </c>
      <c r="G70" s="8" t="s">
        <v>38</v>
      </c>
      <c r="H70" s="8" t="s">
        <v>51</v>
      </c>
      <c r="I70" s="8" t="s">
        <v>40</v>
      </c>
      <c r="J70" s="10">
        <v>40</v>
      </c>
      <c r="K70" s="11">
        <v>36880</v>
      </c>
      <c r="L70" s="11">
        <v>19915</v>
      </c>
      <c r="M70" s="11">
        <f t="shared" si="4"/>
        <v>16965</v>
      </c>
      <c r="N70" s="12">
        <f t="shared" si="5"/>
        <v>0.4600054229934924</v>
      </c>
      <c r="O70" s="12">
        <v>0.8600000000000001</v>
      </c>
      <c r="P70" s="13">
        <v>3</v>
      </c>
    </row>
    <row r="71" spans="1:16" ht="14.4">
      <c r="A71" s="8" t="s">
        <v>116</v>
      </c>
      <c r="B71" s="9">
        <v>46056</v>
      </c>
      <c r="C71" s="8" t="s">
        <v>34</v>
      </c>
      <c r="D71" s="8" t="s">
        <v>43</v>
      </c>
      <c r="E71" s="8" t="s">
        <v>29</v>
      </c>
      <c r="F71" s="8" t="s">
        <v>45</v>
      </c>
      <c r="G71" s="8" t="s">
        <v>46</v>
      </c>
      <c r="H71" s="8" t="s">
        <v>24</v>
      </c>
      <c r="I71" s="8" t="s">
        <v>47</v>
      </c>
      <c r="J71" s="10">
        <v>47</v>
      </c>
      <c r="K71" s="11">
        <v>49773</v>
      </c>
      <c r="L71" s="11">
        <v>32352</v>
      </c>
      <c r="M71" s="11">
        <f t="shared" si="4"/>
        <v>17421</v>
      </c>
      <c r="N71" s="12">
        <f t="shared" si="5"/>
        <v>0.35000904104635044</v>
      </c>
      <c r="O71" s="12">
        <v>0.19999999999999998</v>
      </c>
      <c r="P71" s="13">
        <v>5</v>
      </c>
    </row>
    <row r="72" spans="1:16" ht="14.4">
      <c r="A72" s="8" t="s">
        <v>117</v>
      </c>
      <c r="B72" s="9">
        <v>46087</v>
      </c>
      <c r="C72" s="8" t="s">
        <v>42</v>
      </c>
      <c r="D72" s="8" t="s">
        <v>20</v>
      </c>
      <c r="E72" s="8" t="s">
        <v>36</v>
      </c>
      <c r="F72" s="8" t="s">
        <v>22</v>
      </c>
      <c r="G72" s="8" t="s">
        <v>23</v>
      </c>
      <c r="H72" s="8" t="s">
        <v>24</v>
      </c>
      <c r="I72" s="8" t="s">
        <v>25</v>
      </c>
      <c r="J72" s="10">
        <v>11</v>
      </c>
      <c r="K72" s="11">
        <v>13156</v>
      </c>
      <c r="L72" s="11">
        <v>9999</v>
      </c>
      <c r="M72" s="11">
        <f t="shared" si="4"/>
        <v>3157</v>
      </c>
      <c r="N72" s="12">
        <f t="shared" si="5"/>
        <v>0.23996655518394649</v>
      </c>
      <c r="O72" s="12">
        <v>0.32999999999999996</v>
      </c>
      <c r="P72" s="13">
        <v>2</v>
      </c>
    </row>
    <row r="73" spans="1:16" ht="14.4">
      <c r="A73" s="8" t="s">
        <v>118</v>
      </c>
      <c r="B73" s="9">
        <v>46121</v>
      </c>
      <c r="C73" s="8" t="s">
        <v>49</v>
      </c>
      <c r="D73" s="8" t="s">
        <v>28</v>
      </c>
      <c r="E73" s="8" t="s">
        <v>44</v>
      </c>
      <c r="F73" s="8" t="s">
        <v>30</v>
      </c>
      <c r="G73" s="8" t="s">
        <v>31</v>
      </c>
      <c r="H73" s="8" t="s">
        <v>39</v>
      </c>
      <c r="I73" s="8" t="s">
        <v>32</v>
      </c>
      <c r="J73" s="10">
        <v>18</v>
      </c>
      <c r="K73" s="11">
        <v>23994</v>
      </c>
      <c r="L73" s="11">
        <v>13677</v>
      </c>
      <c r="M73" s="11">
        <f t="shared" si="4"/>
        <v>10317</v>
      </c>
      <c r="N73" s="12">
        <f t="shared" si="5"/>
        <v>0.429982495623906</v>
      </c>
      <c r="O73" s="12">
        <v>0.46</v>
      </c>
      <c r="P73" s="13">
        <v>4</v>
      </c>
    </row>
    <row r="74" spans="1:16" ht="14.4">
      <c r="A74" s="8" t="s">
        <v>119</v>
      </c>
      <c r="B74" s="9">
        <v>46154</v>
      </c>
      <c r="C74" s="8" t="s">
        <v>19</v>
      </c>
      <c r="D74" s="8" t="s">
        <v>35</v>
      </c>
      <c r="E74" s="8" t="s">
        <v>50</v>
      </c>
      <c r="F74" s="8" t="s">
        <v>37</v>
      </c>
      <c r="G74" s="8" t="s">
        <v>38</v>
      </c>
      <c r="H74" s="8" t="s">
        <v>39</v>
      </c>
      <c r="I74" s="8" t="s">
        <v>40</v>
      </c>
      <c r="J74" s="10">
        <v>25</v>
      </c>
      <c r="K74" s="11">
        <v>36750</v>
      </c>
      <c r="L74" s="11">
        <v>24990</v>
      </c>
      <c r="M74" s="11">
        <f t="shared" si="4"/>
        <v>11760</v>
      </c>
      <c r="N74" s="12">
        <f t="shared" si="5"/>
        <v>0.32</v>
      </c>
      <c r="O74" s="12">
        <v>0.59</v>
      </c>
      <c r="P74" s="13">
        <v>1</v>
      </c>
    </row>
    <row r="75" spans="1:16" ht="14.4">
      <c r="A75" s="14" t="s">
        <v>120</v>
      </c>
      <c r="B75" s="15">
        <v>46188</v>
      </c>
      <c r="C75" s="14" t="s">
        <v>27</v>
      </c>
      <c r="D75" s="14" t="s">
        <v>43</v>
      </c>
      <c r="E75" s="14" t="s">
        <v>53</v>
      </c>
      <c r="F75" s="14" t="s">
        <v>45</v>
      </c>
      <c r="G75" s="14" t="s">
        <v>46</v>
      </c>
      <c r="H75" s="14" t="s">
        <v>51</v>
      </c>
      <c r="I75" s="14" t="s">
        <v>47</v>
      </c>
      <c r="J75" s="16">
        <v>32</v>
      </c>
      <c r="K75" s="17">
        <v>51424</v>
      </c>
      <c r="L75" s="17">
        <v>25198</v>
      </c>
      <c r="M75" s="17">
        <f t="shared" si="4"/>
        <v>26226</v>
      </c>
      <c r="N75" s="18">
        <f t="shared" si="5"/>
        <v>0.50999533291848165</v>
      </c>
      <c r="O75" s="18">
        <v>0.72</v>
      </c>
      <c r="P75" s="19">
        <v>3</v>
      </c>
    </row>
  </sheetData>
  <mergeCells count="2">
    <mergeCell ref="A1:P1"/>
    <mergeCell ref="A2:P2"/>
  </mergeCells>
  <conditionalFormatting sqref="H4:H75">
    <cfRule type="containsText" dxfId="2" priority="1" operator="containsText" text="Concluído"/>
    <cfRule type="containsText" dxfId="1" priority="2" operator="containsText" text="Em atenção"/>
    <cfRule type="containsText" dxfId="0" priority="3" operator="containsText" text="Planejado"/>
  </conditionalFormatting>
  <conditionalFormatting sqref="N4:N7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75">
    <cfRule type="dataBar" priority="5">
      <dataBar>
        <cfvo type="min"/>
        <cfvo type="max"/>
        <color rgb="FF1683F3"/>
      </dataBar>
    </cfRule>
    <cfRule type="dataBar" priority="6">
      <dataBar>
        <cfvo type="min"/>
        <cfvo type="max"/>
        <color rgb="FF1683F3"/>
      </dataBar>
      <extLst>
        <ext xmlns:x14="http://schemas.microsoft.com/office/spreadsheetml/2009/9/main" uri="{B025F937-C7B1-47D3-B67F-A62EFF666E3E}">
          <x14:id>{8672922B-43FC-A513-29AC-1B3E4C664919}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72922B-43FC-A513-29AC-1B3E4C664919}">
            <x14:dataBar>
              <x14:cfvo type="min"/>
              <x14:cfvo type="max"/>
              <x14:negativeFillColor auto="1"/>
              <x14:axisColor auto="1"/>
            </x14:dataBar>
          </x14:cfRule>
          <xm:sqref>O4:O75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/>
  </sheetViews>
  <sheetFormatPr defaultRowHeight="13.8"/>
  <cols>
    <col min="1" max="1" width="24" customWidth="1"/>
    <col min="2" max="2" width="34" customWidth="1"/>
    <col min="3" max="3" width="4" customWidth="1"/>
    <col min="4" max="4" width="18" customWidth="1"/>
    <col min="5" max="5" width="16" customWidth="1"/>
    <col min="6" max="6" width="28" customWidth="1"/>
  </cols>
  <sheetData>
    <row r="1" spans="1:6" ht="31.95" customHeight="1">
      <c r="A1" s="25" t="s">
        <v>121</v>
      </c>
      <c r="B1" s="25"/>
      <c r="C1" s="25"/>
      <c r="D1" s="25"/>
      <c r="E1" s="25"/>
      <c r="F1" s="25"/>
    </row>
    <row r="3" spans="1:6">
      <c r="A3" s="20" t="s">
        <v>122</v>
      </c>
      <c r="B3" s="20" t="s">
        <v>123</v>
      </c>
      <c r="D3" s="20" t="s">
        <v>124</v>
      </c>
      <c r="E3" s="20" t="s">
        <v>125</v>
      </c>
      <c r="F3" s="20" t="s">
        <v>126</v>
      </c>
    </row>
    <row r="4" spans="1:6">
      <c r="A4" s="21" t="s">
        <v>127</v>
      </c>
      <c r="B4" s="21" t="s">
        <v>128</v>
      </c>
      <c r="D4" s="21" t="s">
        <v>4</v>
      </c>
      <c r="E4" s="21" t="s">
        <v>129</v>
      </c>
      <c r="F4" s="21" t="s">
        <v>130</v>
      </c>
    </row>
    <row r="5" spans="1:6">
      <c r="A5" s="21" t="s">
        <v>131</v>
      </c>
      <c r="B5" s="21" t="s">
        <v>6</v>
      </c>
      <c r="D5" s="21" t="s">
        <v>6</v>
      </c>
      <c r="E5" s="21" t="s">
        <v>129</v>
      </c>
      <c r="F5" s="21" t="s">
        <v>132</v>
      </c>
    </row>
    <row r="6" spans="1:6">
      <c r="A6" s="21" t="s">
        <v>133</v>
      </c>
      <c r="B6" s="21" t="s">
        <v>8</v>
      </c>
      <c r="D6" s="21" t="s">
        <v>7</v>
      </c>
      <c r="E6" s="21" t="s">
        <v>129</v>
      </c>
      <c r="F6" s="21" t="s">
        <v>134</v>
      </c>
    </row>
    <row r="7" spans="1:6">
      <c r="A7" s="21" t="s">
        <v>135</v>
      </c>
      <c r="B7" s="21" t="s">
        <v>136</v>
      </c>
      <c r="D7" s="21" t="s">
        <v>9</v>
      </c>
      <c r="E7" s="21" t="s">
        <v>129</v>
      </c>
      <c r="F7" s="21" t="s">
        <v>137</v>
      </c>
    </row>
    <row r="8" spans="1:6">
      <c r="A8" s="21" t="s">
        <v>138</v>
      </c>
      <c r="B8" s="21" t="s">
        <v>9</v>
      </c>
      <c r="D8" s="21" t="s">
        <v>10</v>
      </c>
      <c r="E8" s="21" t="s">
        <v>129</v>
      </c>
      <c r="F8" s="21" t="s">
        <v>139</v>
      </c>
    </row>
    <row r="9" spans="1:6">
      <c r="A9" s="21" t="s">
        <v>140</v>
      </c>
      <c r="B9" s="21" t="s">
        <v>16</v>
      </c>
      <c r="D9" s="21" t="s">
        <v>12</v>
      </c>
      <c r="E9" s="21" t="s">
        <v>141</v>
      </c>
      <c r="F9" s="21" t="s">
        <v>142</v>
      </c>
    </row>
    <row r="10" spans="1:6">
      <c r="A10" s="21" t="s">
        <v>143</v>
      </c>
      <c r="B10" s="21" t="s">
        <v>144</v>
      </c>
      <c r="D10" s="21" t="s">
        <v>14</v>
      </c>
      <c r="E10" s="21" t="s">
        <v>141</v>
      </c>
      <c r="F10" s="21" t="s">
        <v>145</v>
      </c>
    </row>
    <row r="11" spans="1:6">
      <c r="A11" s="22" t="s">
        <v>146</v>
      </c>
      <c r="B11" s="22" t="s">
        <v>15</v>
      </c>
      <c r="D11" s="21" t="s">
        <v>15</v>
      </c>
      <c r="E11" s="21" t="s">
        <v>147</v>
      </c>
      <c r="F11" s="21" t="s">
        <v>148</v>
      </c>
    </row>
    <row r="12" spans="1:6">
      <c r="D12" s="21" t="s">
        <v>16</v>
      </c>
      <c r="E12" s="21" t="s">
        <v>147</v>
      </c>
      <c r="F12" s="21" t="s">
        <v>149</v>
      </c>
    </row>
    <row r="13" spans="1:6">
      <c r="D13" s="22" t="s">
        <v>17</v>
      </c>
      <c r="E13" s="22" t="s">
        <v>150</v>
      </c>
      <c r="F13" s="22" t="s">
        <v>151</v>
      </c>
    </row>
    <row r="15" spans="1:6" ht="37.950000000000003" customHeight="1">
      <c r="A15" s="26" t="s">
        <v>152</v>
      </c>
      <c r="B15" s="26"/>
      <c r="C15" s="26"/>
      <c r="D15" s="26"/>
      <c r="E15" s="26"/>
      <c r="F15" s="26"/>
    </row>
  </sheetData>
  <mergeCells count="2">
    <mergeCell ref="A1:F1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Santa Tereza</cp:lastModifiedBy>
  <dcterms:modified xsi:type="dcterms:W3CDTF">2026-07-24T17:15:11Z</dcterms:modified>
</cp:coreProperties>
</file>